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29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28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ros" sheetId="1" state="visible" r:id="rId3"/>
    <sheet name="Estimacion ECM" sheetId="2" state="visible" r:id="rId4"/>
    <sheet name="Estadísticas Factores" sheetId="3" state="visible" r:id="rId5"/>
    <sheet name="Series_Historicas" sheetId="4" state="visible" r:id="rId6"/>
    <sheet name="Correlacion" sheetId="5" state="visible" r:id="rId7"/>
    <sheet name="Datos_Individuales" sheetId="6" state="visible" r:id="rId8"/>
    <sheet name="Diagnostico_Caud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0" authorId="0">
      <text>
        <r>
          <rPr>
            <sz val="10"/>
            <rFont val="Arial"/>
            <family val="2"/>
          </rPr>
          <t xml:space="preserve">ASUS:
Hacer la discriminación de los ríos Bolo y Fraile por tramo (Área de caña de azúcar)</t>
        </r>
      </text>
    </comment>
    <comment ref="K4" authorId="0">
      <text>
        <r>
          <rPr>
            <sz val="10"/>
            <rFont val="Arial"/>
            <family val="2"/>
          </rPr>
          <t xml:space="preserve">ASUS:
Cambiar Central por Promedio.</t>
        </r>
      </text>
    </comment>
    <comment ref="L4" authorId="0">
      <text>
        <r>
          <rPr>
            <sz val="10"/>
            <rFont val="Arial"/>
            <family val="2"/>
          </rPr>
          <t xml:space="preserve">ASUS:
Cambiar Central por Promedio.</t>
        </r>
      </text>
    </comment>
  </commentList>
</comments>
</file>

<file path=xl/sharedStrings.xml><?xml version="1.0" encoding="utf-8"?>
<sst xmlns="http://schemas.openxmlformats.org/spreadsheetml/2006/main" count="2876" uniqueCount="540">
  <si>
    <t xml:space="preserve">PARÁMETROS DEL MODELO — Método del Coeficiente de Exportación (ECM)</t>
  </si>
  <si>
    <t xml:space="preserve">Celdas en AZUL = valores que puedes modificar. Las hojas de cálculo leen estos valores automáticamente.</t>
  </si>
  <si>
    <t xml:space="preserve">COEFICIENTES DE EXPORTACIÓN DE NITRÓGENO TOTAL (kg N / ha / año)</t>
  </si>
  <si>
    <t xml:space="preserve">Referencia</t>
  </si>
  <si>
    <t xml:space="preserve">Fuente</t>
  </si>
  <si>
    <t xml:space="preserve">Valor mín</t>
  </si>
  <si>
    <t xml:space="preserve">Valor central</t>
  </si>
  <si>
    <t xml:space="preserve">Valor máx</t>
  </si>
  <si>
    <t xml:space="preserve">Pertinencia</t>
  </si>
  <si>
    <t xml:space="preserve">Notas</t>
  </si>
  <si>
    <t xml:space="preserve">C01</t>
  </si>
  <si>
    <t xml:space="preserve">Thorburn et al. (2011) — Australia, Burdekin, caña irrigada zona plana</t>
  </si>
  <si>
    <t xml:space="preserve">★★★★★</t>
  </si>
  <si>
    <t xml:space="preserve">Escorrentía superficial sola: 1–5 kg/ha/año. Rango amplio incluye lixiviación.</t>
  </si>
  <si>
    <t xml:space="preserve">C02</t>
  </si>
  <si>
    <t xml:space="preserve">Thorburn &amp; Wilkinson (2013) — Australia, Mackay, caña zona plana</t>
  </si>
  <si>
    <t xml:space="preserve">★★★★☆</t>
  </si>
  <si>
    <t xml:space="preserve">Diversas prácticas de manejo. Cosecha verde y quema.</t>
  </si>
  <si>
    <t xml:space="preserve">C03</t>
  </si>
  <si>
    <t xml:space="preserve">Ghiberto et al. (2009) — Brasil, São Paulo, cosecha verde sin quema</t>
  </si>
  <si>
    <t xml:space="preserve">Condición similar al Valle del Cauca desde 2013.</t>
  </si>
  <si>
    <t xml:space="preserve">G04</t>
  </si>
  <si>
    <t xml:space="preserve">Waters et al. (2014) — Australia, Gran Barrera de Coral, escala cuenca</t>
  </si>
  <si>
    <t xml:space="preserve">Caña + otras coberturas. Escala cuenca grande.</t>
  </si>
  <si>
    <t xml:space="preserve">COEFICIENTES DE EXPORTACIÓN DE FÓSFORO TOTAL (kg P / ha / año)</t>
  </si>
  <si>
    <t xml:space="preserve">Thorburn &amp; Wilkinson (2013) — Australia, Mackay</t>
  </si>
  <si>
    <t xml:space="preserve">Zona plana tropical húmeda.</t>
  </si>
  <si>
    <t xml:space="preserve">Ghiberto et al. (2009) — Brasil, São Paulo</t>
  </si>
  <si>
    <t xml:space="preserve">Cosecha verde. Suelos similares (Ultisol/Inceptisol).</t>
  </si>
  <si>
    <t xml:space="preserve">C04</t>
  </si>
  <si>
    <t xml:space="preserve">Ghiberto et al. (2011) — Brasil, vinaza</t>
  </si>
  <si>
    <t xml:space="preserve">Aplicable en predios con vinaza del Valle del Cauca.</t>
  </si>
  <si>
    <t xml:space="preserve">Waters et al. (2014) — Australia, Gran Barrera Coral</t>
  </si>
  <si>
    <t xml:space="preserve">Escala cuenca grande.</t>
  </si>
  <si>
    <t xml:space="preserve">VALORES ADOPTADOS PARA EL CÁLCULO — Editar aquí para cambiar todos los resultados</t>
  </si>
  <si>
    <t xml:space="preserve">Parámetro</t>
  </si>
  <si>
    <t xml:space="preserve">Escenario Bajo</t>
  </si>
  <si>
    <t xml:space="preserve">Escenario Medio
(valor central)</t>
  </si>
  <si>
    <t xml:space="preserve">Escenario Alto</t>
  </si>
  <si>
    <t xml:space="preserve">Unidad</t>
  </si>
  <si>
    <t xml:space="preserve">Referencias usadas</t>
  </si>
  <si>
    <t xml:space="preserve">Nitrógeno Total (N)</t>
  </si>
  <si>
    <t xml:space="preserve">kg N/ha/año</t>
  </si>
  <si>
    <t xml:space="preserve">C01, C02, C03, G04 — rango consenso para caña zona plana tropical</t>
  </si>
  <si>
    <t xml:space="preserve">Fósforo Total (P)</t>
  </si>
  <si>
    <t xml:space="preserve">kg P/ha/año</t>
  </si>
  <si>
    <t xml:space="preserve">C02, C03, C04, G04 — rango consenso para caña zona plana tropical</t>
  </si>
  <si>
    <t xml:space="preserve">ESTIMACIÓN DE CARGA DIFUSA — Método del Coeficiente de Exportación (ECM) |Año de referencia: 2021</t>
  </si>
  <si>
    <t xml:space="preserve">Fórmula: Carga (kg/año) = Área caña (ha) × Coeficiente (kg/ha/año)</t>
  </si>
  <si>
    <t xml:space="preserve">IDENTIFICACIÓN</t>
  </si>
  <si>
    <t xml:space="preserve">CARGA N TOTAL (kg N/año)</t>
  </si>
  <si>
    <t xml:space="preserve">CARGA P TOTAL (kg P/año)</t>
  </si>
  <si>
    <t xml:space="preserve">CARGA N TOTAL (kg N/día)</t>
  </si>
  <si>
    <t xml:space="preserve">CARGA P TOTAL (kg P/día)</t>
  </si>
  <si>
    <t xml:space="preserve">Río</t>
  </si>
  <si>
    <t xml:space="preserve">Área caña
(ha)</t>
  </si>
  <si>
    <t xml:space="preserve">Fuente
área</t>
  </si>
  <si>
    <t xml:space="preserve">N Mínimo (kg/año)</t>
  </si>
  <si>
    <t xml:space="preserve">N Promedio (kg/año)</t>
  </si>
  <si>
    <t xml:space="preserve">N Máximo (kg/año)</t>
  </si>
  <si>
    <t xml:space="preserve">P Mínimo</t>
  </si>
  <si>
    <t xml:space="preserve">P Promedio</t>
  </si>
  <si>
    <t xml:space="preserve">P Máximo</t>
  </si>
  <si>
    <t xml:space="preserve">N Mín
(kg/día)</t>
  </si>
  <si>
    <t xml:space="preserve">N Promedio
(kg/día)</t>
  </si>
  <si>
    <t xml:space="preserve">N Máximo
(kg/día)</t>
  </si>
  <si>
    <t xml:space="preserve">P Mín
(kg/día)</t>
  </si>
  <si>
    <t xml:space="preserve">P Promedio (kg/día)</t>
  </si>
  <si>
    <t xml:space="preserve">P Máximo
(kg/día)</t>
  </si>
  <si>
    <t xml:space="preserve">Rio Cauca</t>
  </si>
  <si>
    <t xml:space="preserve">CVC/IGAC 2017</t>
  </si>
  <si>
    <t xml:space="preserve">Rio Amaime</t>
  </si>
  <si>
    <t xml:space="preserve">Rio Bolo</t>
  </si>
  <si>
    <t xml:space="preserve">Rio Bugalagrande</t>
  </si>
  <si>
    <t xml:space="preserve">Rio Desbaratado</t>
  </si>
  <si>
    <t xml:space="preserve">Rio Fraile</t>
  </si>
  <si>
    <t xml:space="preserve">Rio Guabas</t>
  </si>
  <si>
    <t xml:space="preserve">Rio Guadalajara</t>
  </si>
  <si>
    <t xml:space="preserve">Rio Guachal</t>
  </si>
  <si>
    <t xml:space="preserve">Rio La Paila</t>
  </si>
  <si>
    <t xml:space="preserve">Rio Nima</t>
  </si>
  <si>
    <t xml:space="preserve">Rio Palo</t>
  </si>
  <si>
    <t xml:space="preserve">CRC 2014</t>
  </si>
  <si>
    <t xml:space="preserve">Rio Riofrio</t>
  </si>
  <si>
    <t xml:space="preserve">Rio Risaralda</t>
  </si>
  <si>
    <t xml:space="preserve">CARDER 2026</t>
  </si>
  <si>
    <t xml:space="preserve">Rio Tulua</t>
  </si>
  <si>
    <t xml:space="preserve">Rio Zabaletas</t>
  </si>
  <si>
    <t xml:space="preserve">TOTAL</t>
  </si>
  <si>
    <t xml:space="preserve">★ = Escenario central recomendado para el informe. Escenario Mínimo y Máximo definen el rango de incertidumbre. Rio Cauca (buffer directo, 27.881 ha) no se incluye — su tratamiento metodológico está pendiente de definición. Rio Risaralda sin dato de área — completar cuando esté disponible.</t>
  </si>
  <si>
    <t xml:space="preserve">CARACTERIZACIÓN ESTADÍSTICA DE FACTORES DE EMISIÓN — ECM Contaminación Difusa</t>
  </si>
  <si>
    <t xml:space="preserve">Tabla 1 — Valores reportados por referencia bibliográfica</t>
  </si>
  <si>
    <t xml:space="preserve">N mín
(kg N/ha/año)</t>
  </si>
  <si>
    <t xml:space="preserve">N central
(kg N/ha/año)</t>
  </si>
  <si>
    <t xml:space="preserve">N máx
(kg N/ha/año)</t>
  </si>
  <si>
    <t xml:space="preserve">P mín
(kg P/ha/año)</t>
  </si>
  <si>
    <t xml:space="preserve">P central
(kg P/ha/año)</t>
  </si>
  <si>
    <t xml:space="preserve">P máx
(kg P/ha/año)</t>
  </si>
  <si>
    <t xml:space="preserve">Tabla 2 — Estadísticas sobre los valores centrales</t>
  </si>
  <si>
    <t xml:space="preserve">Estadístico</t>
  </si>
  <si>
    <t xml:space="preserve">N Total (kg N/ha/año)</t>
  </si>
  <si>
    <t xml:space="preserve">P Total (kg P/ha/año)</t>
  </si>
  <si>
    <t xml:space="preserve">Interpretación</t>
  </si>
  <si>
    <t xml:space="preserve">Número de referencias</t>
  </si>
  <si>
    <t xml:space="preserve">Número de referencias con valor central disponible.</t>
  </si>
  <si>
    <t xml:space="preserve">Media</t>
  </si>
  <si>
    <t xml:space="preserve">Valor adoptado N=4.8 difiere &lt;1% de la media. Valor adoptado P=0.6 difiere &lt;5%.</t>
  </si>
  <si>
    <t xml:space="preserve">Mediana</t>
  </si>
  <si>
    <t xml:space="preserve">Casi igual a la media, lo que indica que no hay ningún estudio que esté inflando o jalando los resultados hacia un extremo. Los valores entre referencias son consistentes.</t>
  </si>
  <si>
    <t xml:space="preserve">Desviación estándar (σ)</t>
  </si>
  <si>
    <t xml:space="preserve">Para N es muy baja (σ=0,50): las cuatro referencias están de acuerdo. Para P es moderada (σ=0,28): hay variación real entre estudios, que se explica porque el fósforo depende mucho del tipo de suelo, y los sitios de referencia tienen suelos distintos entre sí y distintos a los del Valle del Cauca.</t>
  </si>
  <si>
    <t xml:space="preserve">Coeficiente de variación (CV%)</t>
  </si>
  <si>
    <t xml:space="preserve">N con 10,5% indica que el coeficiente de nitrógeno es confiable — los estudios dicen prácticamente lo mismo. P con 47,9% indica que hay incertidumbre real, por eso para el fósforo es más importante trabajar con los tres escenarios (mín, central, máx) que para el nitrógeno.</t>
  </si>
  <si>
    <t xml:space="preserve">Límite inferior IC 95% (x̄ − 2σ)</t>
  </si>
  <si>
    <t xml:space="preserve">Por debajo de este valor los coeficientes no tendrían respaldo estadístico en la literatura. Sirve como referencia del piso del rango aceptable.</t>
  </si>
  <si>
    <t xml:space="preserve">Límite superior IC 95% (x̄ − 2σ)</t>
  </si>
  <si>
    <t xml:space="preserve"> Los valores adoptados (N=4,8 y P=0,6) quedan dentro del intervalo. Esto confirma formalmente que la elección de coeficientes es coherente con lo que reporta la bibliografía.</t>
  </si>
  <si>
    <t xml:space="preserve">Series históricas de calidad de agua — estaciones de los ríos tributarios</t>
  </si>
  <si>
    <t xml:space="preserve">Estadísticos calculados sobre el registro histórico de la red de monitoreo de la CVC. Los valores reportados por el laboratorio como "&lt; LC" se contabilizaron con el límite de cuantificación completo. Los nombres de estación se consolidaron unificando variantes de mayúsculas y tildes.</t>
  </si>
  <si>
    <t xml:space="preserve">Estación</t>
  </si>
  <si>
    <t xml:space="preserve">n</t>
  </si>
  <si>
    <t xml:space="preserve">N-Tot mín</t>
  </si>
  <si>
    <t xml:space="preserve">N-Tot prom</t>
  </si>
  <si>
    <t xml:space="preserve">N-Tot máx</t>
  </si>
  <si>
    <t xml:space="preserve">P-Tot mín</t>
  </si>
  <si>
    <t xml:space="preserve">P-Tot prom</t>
  </si>
  <si>
    <t xml:space="preserve">P-Tot máx</t>
  </si>
  <si>
    <t xml:space="preserve">Período</t>
  </si>
  <si>
    <t xml:space="preserve">Bolo</t>
  </si>
  <si>
    <t xml:space="preserve">Rio Bolo - puente Pradera - Palmira</t>
  </si>
  <si>
    <t xml:space="preserve">2016–2025</t>
  </si>
  <si>
    <t xml:space="preserve">Rio Bolo - puente Bolo - San Isidro - vía a Candelaria</t>
  </si>
  <si>
    <t xml:space="preserve">Rio Bolo - antes desembocadura a Frayle en puente Recta Cali - Palmira</t>
  </si>
  <si>
    <t xml:space="preserve">Rio Bolo - limnígrafo CVC - Los Minchos</t>
  </si>
  <si>
    <t xml:space="preserve">Fraile</t>
  </si>
  <si>
    <t xml:space="preserve">Rio Frayle - Nacimiento El Pedregal</t>
  </si>
  <si>
    <t xml:space="preserve">Rio Frayle - puente Vía a Miranda</t>
  </si>
  <si>
    <t xml:space="preserve">Rio Frayle - limnigrafo CVC - caserio Brisas de Frayle</t>
  </si>
  <si>
    <t xml:space="preserve">Rio Frayle - antes Desembocadura a rio Guachal Recta Cali Palmira</t>
  </si>
  <si>
    <t xml:space="preserve">Guachal</t>
  </si>
  <si>
    <t xml:space="preserve">GG3 - Rio Guachal - Antes Desembocadura a Rio Cauca</t>
  </si>
  <si>
    <t xml:space="preserve">Párraga</t>
  </si>
  <si>
    <t xml:space="preserve">Rio Parraga - puente via Florida - Pradera</t>
  </si>
  <si>
    <t xml:space="preserve">2016–2018</t>
  </si>
  <si>
    <t xml:space="preserve">Rio Parraga - puente vía Candelaria - Florida</t>
  </si>
  <si>
    <t xml:space="preserve">Rio Parraga - antes Desembocadura a rio Frayle</t>
  </si>
  <si>
    <t xml:space="preserve">Palo</t>
  </si>
  <si>
    <t xml:space="preserve">Antes de PTAR Guachené</t>
  </si>
  <si>
    <t xml:space="preserve">Desembocadura a río Cauca</t>
  </si>
  <si>
    <t xml:space="preserve">Puente Perico Negro</t>
  </si>
  <si>
    <t xml:space="preserve">Después de PTAR Guachené</t>
  </si>
  <si>
    <t xml:space="preserve">2017–2025</t>
  </si>
  <si>
    <t xml:space="preserve">Puente PICC</t>
  </si>
  <si>
    <t xml:space="preserve">Puente Puerto Tejada</t>
  </si>
  <si>
    <t xml:space="preserve">Puente del Maíz</t>
  </si>
  <si>
    <t xml:space="preserve">Bocatoma corregimiento El Palo</t>
  </si>
  <si>
    <t xml:space="preserve">Antes Bocatoma Propal</t>
  </si>
  <si>
    <t xml:space="preserve">2010–2012</t>
  </si>
  <si>
    <t xml:space="preserve">Desbaratado</t>
  </si>
  <si>
    <t xml:space="preserve">Antes de bocatoma cabecera Miranda</t>
  </si>
  <si>
    <t xml:space="preserve">2019–2026</t>
  </si>
  <si>
    <t xml:space="preserve">Antes de porcícola (Pte. Jordán)</t>
  </si>
  <si>
    <t xml:space="preserve">Puente Ortigal</t>
  </si>
  <si>
    <t xml:space="preserve">Amaime</t>
  </si>
  <si>
    <t xml:space="preserve">Rio Amaime - antes Caserio el Placer</t>
  </si>
  <si>
    <t xml:space="preserve">Rio Amaime - antes desembocadura de Rio Nima</t>
  </si>
  <si>
    <t xml:space="preserve">Rio Amaime - antes Desembocadura a Rio Cauca</t>
  </si>
  <si>
    <t xml:space="preserve">Rio Amaime - antes Caserio Tablones - Balneario Puerto Amor</t>
  </si>
  <si>
    <t xml:space="preserve">Rio Amaime - despues Caserio Auji</t>
  </si>
  <si>
    <t xml:space="preserve">2016–2023</t>
  </si>
  <si>
    <t xml:space="preserve">Nima</t>
  </si>
  <si>
    <t xml:space="preserve">Rio Nima - Acueducto Nima</t>
  </si>
  <si>
    <t xml:space="preserve">Rio Nima - antes desembocadura a rio Amaime</t>
  </si>
  <si>
    <t xml:space="preserve">Rio Nima - antes Caserio de tenjo</t>
  </si>
  <si>
    <t xml:space="preserve">Guabas</t>
  </si>
  <si>
    <t xml:space="preserve">Rio Guabas - Quebrada Los Lulos - antes desembocadura a rio Guabas</t>
  </si>
  <si>
    <t xml:space="preserve">Rio Guabas - antes Mina La Victoria</t>
  </si>
  <si>
    <t xml:space="preserve">Rio Guabas - antes desembocadura a Río Cauca</t>
  </si>
  <si>
    <t xml:space="preserve">Rio Guabas - puente Rojo - Bocatoma Acueducto de Ginebra</t>
  </si>
  <si>
    <t xml:space="preserve">Rio Guabas - puente despues Mina La Victoria</t>
  </si>
  <si>
    <t xml:space="preserve">2017–2024</t>
  </si>
  <si>
    <t xml:space="preserve">Rio Guabas - despues Mina La Victoria</t>
  </si>
  <si>
    <t xml:space="preserve">Zabaletas</t>
  </si>
  <si>
    <t xml:space="preserve">Río Sabaletas - Antes caserío Los Medios</t>
  </si>
  <si>
    <t xml:space="preserve">Río Sabaletas - Bocatoma Acuavalle Santa Elena</t>
  </si>
  <si>
    <t xml:space="preserve">Río Sabaletas - Cruce sector vía La Novillera</t>
  </si>
  <si>
    <t xml:space="preserve">Río Sabaletas - Puente vía Santa Elena-Ginebra</t>
  </si>
  <si>
    <t xml:space="preserve">Rio Sabaletas - antes desembocadura a Rio Cauca</t>
  </si>
  <si>
    <t xml:space="preserve">Río Sabaletas - Puente después caserío Los Medios</t>
  </si>
  <si>
    <t xml:space="preserve">2017–2017</t>
  </si>
  <si>
    <t xml:space="preserve">Guadalajara</t>
  </si>
  <si>
    <t xml:space="preserve">Rio Guadalajara - La Piscina - Vía a Alaska</t>
  </si>
  <si>
    <t xml:space="preserve">Rio Guadalajara - Antes desembocadura de Quebrada La Magdalena - puente Colgante</t>
  </si>
  <si>
    <t xml:space="preserve">Rio Guadalajara - Puente Balneario los Guaduales</t>
  </si>
  <si>
    <t xml:space="preserve">Rio Guadalajara - Bocatoma Acueducto Buga</t>
  </si>
  <si>
    <t xml:space="preserve">Rio Guadalajara - puente Frente vía Ferrea</t>
  </si>
  <si>
    <t xml:space="preserve">Rio Guadalajara - antes desembocadura a Rio Cauca (El Porvenir)</t>
  </si>
  <si>
    <t xml:space="preserve">Riofrío</t>
  </si>
  <si>
    <t xml:space="preserve">Rio Riofrio - Rio Guayabal</t>
  </si>
  <si>
    <t xml:space="preserve">Rio Riofrio - puente despues Salonica - limnigrafo CVC</t>
  </si>
  <si>
    <t xml:space="preserve">Rio Riofrio - Bocatoma Acueducto de Riofrio</t>
  </si>
  <si>
    <t xml:space="preserve">Rio Riofrio - antes Municipio Riofrio</t>
  </si>
  <si>
    <t xml:space="preserve">Rio Riofrio - Rio Valcanes</t>
  </si>
  <si>
    <t xml:space="preserve">Rio Riofrio - antes desembocadura a Río Cauca</t>
  </si>
  <si>
    <t xml:space="preserve">Tuluá</t>
  </si>
  <si>
    <t xml:space="preserve">Rio Tulua - antes Jardin Botanico (limnigrafo CVC)</t>
  </si>
  <si>
    <t xml:space="preserve">Rio Tulua - Puente Ferrocarril Barrio La Trinidad</t>
  </si>
  <si>
    <t xml:space="preserve">Rio Tulua - puente Nuevo (Barrio 7 de Agosto)</t>
  </si>
  <si>
    <t xml:space="preserve">Rio Tulua - despues Urbanizacion Maracaibo</t>
  </si>
  <si>
    <t xml:space="preserve">Rio Tulua - antes desembocadura a Río Cauca (vereda El Salto)</t>
  </si>
  <si>
    <t xml:space="preserve">Rio Tulua - Antes desembocadura a Río Cauca</t>
  </si>
  <si>
    <t xml:space="preserve">2018–2024</t>
  </si>
  <si>
    <t xml:space="preserve">Bugalagrande</t>
  </si>
  <si>
    <t xml:space="preserve">Rio Bugalagrande - Conciviles - Andalucía</t>
  </si>
  <si>
    <t xml:space="preserve">Rio Bugalagrande - puente Variante Bugalagrande</t>
  </si>
  <si>
    <t xml:space="preserve">Rio Bugalagrande - antes desembocadura a Río Cauca - Hacienda El Guayabo</t>
  </si>
  <si>
    <t xml:space="preserve">Rio Bugalagrande - puente Colgante El Placer</t>
  </si>
  <si>
    <t xml:space="preserve">2016–2024</t>
  </si>
  <si>
    <t xml:space="preserve">Rio Bugalagrande - Puente antes Caserio San Rafael.</t>
  </si>
  <si>
    <t xml:space="preserve">La Paila</t>
  </si>
  <si>
    <t xml:space="preserve">Rio La Paila - Antes desembocadura del rio Totoro</t>
  </si>
  <si>
    <t xml:space="preserve">Rio La Paila - puente Paila arriba - vía a Sevilla</t>
  </si>
  <si>
    <t xml:space="preserve">Rio La Paila - Planta Acuavalle</t>
  </si>
  <si>
    <t xml:space="preserve">Rio La Paila - antes desembocadura a Rio Cauca</t>
  </si>
  <si>
    <t xml:space="preserve">Risaralda</t>
  </si>
  <si>
    <t xml:space="preserve">Río Cauca - Antes río Risaralda</t>
  </si>
  <si>
    <t xml:space="preserve">2001–2025</t>
  </si>
  <si>
    <t xml:space="preserve">Río Risaralda - Después Descarga Municipio Mistrató</t>
  </si>
  <si>
    <t xml:space="preserve">2010–2025</t>
  </si>
  <si>
    <t xml:space="preserve">Quebrada Chapata - Desembocadura</t>
  </si>
  <si>
    <t xml:space="preserve">1998–2025</t>
  </si>
  <si>
    <t xml:space="preserve">Río Risaralda - Puente Umbría</t>
  </si>
  <si>
    <t xml:space="preserve">1997–2025</t>
  </si>
  <si>
    <t xml:space="preserve">Río Risaralda - Antes Descarga Municipio Mistrató</t>
  </si>
  <si>
    <t xml:space="preserve">2013–2025</t>
  </si>
  <si>
    <t xml:space="preserve">Río Guatica - Desembocadura río Risaralda</t>
  </si>
  <si>
    <t xml:space="preserve">2000–2025</t>
  </si>
  <si>
    <t xml:space="preserve">Río Risaralda - Las Palmeras</t>
  </si>
  <si>
    <t xml:space="preserve">1999–2025</t>
  </si>
  <si>
    <t xml:space="preserve">Río Risaralda - Puente Negro</t>
  </si>
  <si>
    <t xml:space="preserve">2007–2025</t>
  </si>
  <si>
    <t xml:space="preserve">Influencia de la caña de azúcar sobre la calidad del agua de los tributarios</t>
  </si>
  <si>
    <t xml:space="preserve">Para cada tramo se acumula el área de caña de azúcar situada aguas arriba de su estación de cierre y se convierte en carga anual de nitrógeno y fósforo (área × factor de emisión). Esa carga acumulada se contrasta con TODAS las mediciones individuales de la estación, no con tres estadísticos resumidos: la regresión de cada río usa entre 16 y 70 datos reales. La pendiente indica cuánto varía la concentración observada por cada kilogramo/año adicional de carga de caña aguas arriba; el R² indica qué parte de la variabilidad observada queda explicada por esa carga. Las gráficas a la derecha muestran la nube de puntos y la recta ajustada de cada río.</t>
  </si>
  <si>
    <t xml:space="preserve">Factores de emisión adoptados (kg/ha/año), enlazados a la hoja Parametros — N: 3,0 / 4,8 / 10,0    ·    P: 0,1 / 0,6 / 1,5   (mínimo / promedio / máximo). La regresión usa el escenario promedio.</t>
  </si>
  <si>
    <t xml:space="preserve">RESUMEN — ¿cuánto de la calidad observada se asocia a la caña aguas arriba?</t>
  </si>
  <si>
    <t xml:space="preserve">Tramos</t>
  </si>
  <si>
    <t xml:space="preserve">n datos
N</t>
  </si>
  <si>
    <t xml:space="preserve">Pendiente N</t>
  </si>
  <si>
    <t xml:space="preserve">R² N</t>
  </si>
  <si>
    <t xml:space="preserve">n datos
P</t>
  </si>
  <si>
    <t xml:space="preserve">Pendiente P</t>
  </si>
  <si>
    <t xml:space="preserve">R² P</t>
  </si>
  <si>
    <t xml:space="preserve">Lectura</t>
  </si>
  <si>
    <t xml:space="preserve">RÍO BOLO   —   3 tramos   ·   3.794,8 ha de caña en el buffer de 700 m</t>
  </si>
  <si>
    <t xml:space="preserve">Tramo   (abscisa · estación de entrada → estación de cierre)</t>
  </si>
  <si>
    <t xml:space="preserve">Long.
(km)</t>
  </si>
  <si>
    <t xml:space="preserve">Área caña
tramo (ha)</t>
  </si>
  <si>
    <t xml:space="preserve">Área caña
acum. (ha)</t>
  </si>
  <si>
    <t xml:space="preserve">Carga N acum.
mín (kg/año)</t>
  </si>
  <si>
    <t xml:space="preserve">Carga N acum.
prom (kg/año)</t>
  </si>
  <si>
    <t xml:space="preserve">Carga N acum.
máx (kg/año)</t>
  </si>
  <si>
    <t xml:space="preserve">Carga P acum.
mín</t>
  </si>
  <si>
    <t xml:space="preserve">Carga P acum.
prom</t>
  </si>
  <si>
    <t xml:space="preserve">Carga P acum.
máx</t>
  </si>
  <si>
    <t xml:space="preserve">n
N</t>
  </si>
  <si>
    <t xml:space="preserve">N-Total prom
(mg/L)</t>
  </si>
  <si>
    <t xml:space="preserve">N-Total
desv. est.</t>
  </si>
  <si>
    <t xml:space="preserve">n
P</t>
  </si>
  <si>
    <t xml:space="preserve">P-Total prom
(mg/L)</t>
  </si>
  <si>
    <t xml:space="preserve">P-Total
desv. est.</t>
  </si>
  <si>
    <t xml:space="preserve">Tramo 1   (0,00–10,94 km)
Limnígrafo CVC - Los Minchos  →  Puente Pradera - Palmira</t>
  </si>
  <si>
    <t xml:space="preserve">Tramo 2   (10,94–30,02 km)
Puente Pradera - Palmira  →  Puente Bolo - San Isidro - vía a Candelaria</t>
  </si>
  <si>
    <t xml:space="preserve">Tramo 3   (30,02–48,01 km)
Puente Bolo - San Isidro - vía a Candelaria  →  Antes desembocadura a Frayle en puente Recta Cali - Palmira</t>
  </si>
  <si>
    <t xml:space="preserve">Total del río</t>
  </si>
  <si>
    <t xml:space="preserve">REGRESIÓN SOBRE MEDICIONES INDIVIDUALES   —   x = carga de caña acumulada aguas arriba (kg/año, escenario promedio)   ·   y = cada medición puntual de la estación</t>
  </si>
  <si>
    <t xml:space="preserve">n datos</t>
  </si>
  <si>
    <t xml:space="preserve">Pendiente
(mg/L)/(kg/año)</t>
  </si>
  <si>
    <t xml:space="preserve">R²</t>
  </si>
  <si>
    <t xml:space="preserve">Correlación r</t>
  </si>
  <si>
    <t xml:space="preserve">Nitrógeno Total</t>
  </si>
  <si>
    <t xml:space="preserve">Fósforo Total</t>
  </si>
  <si>
    <t xml:space="preserve">RÍO FRAILE   —   3 tramos   ·   4.990,0 ha de caña en el buffer de 700 m</t>
  </si>
  <si>
    <t xml:space="preserve">Tramo 1   (0,00–28,88 km)
Nacimiento El Pedregal  →  Puente Vía a Miranda</t>
  </si>
  <si>
    <t xml:space="preserve">Tramo 2   (28,88–52,14 km)
Puente Vía a Miranda  →  Limnigrafo CVC - caserio Brisas de Frayle</t>
  </si>
  <si>
    <t xml:space="preserve">Tramo 3   (52,14–80,62 km)
Limnigrafo CVC - caserio Brisas de Frayle  →  Antes Desembocadura a rio Guachal Recta Cali Palmira</t>
  </si>
  <si>
    <t xml:space="preserve">RÍO GUACHAL   —   2 tramos   ·   654,7 ha de caña en el buffer de 700 m</t>
  </si>
  <si>
    <t xml:space="preserve">Tramo 1   (0,00–5,96 km)
GG1 - Después Confluencia Ríos Fraile Y Bolo  →  GG2 - Puente vía Yumbo-Aeropuerto</t>
  </si>
  <si>
    <t xml:space="preserve">Tramo 2   (5,96–10,98 km)
GG2 - Puente vía Yumbo-Aeropuerto  →  GG3 - Rio Guachal - Antes Desembocadura a Rio Cauca</t>
  </si>
  <si>
    <t xml:space="preserve">RÍO PALO   —   8 tramos   ·   511,1 ha de caña en el buffer de 700 m</t>
  </si>
  <si>
    <t xml:space="preserve">Tramo 1   (0,00–56,27 km)
Bocatoma corregimiento El Palo  →  Antes de PTAR Guachené</t>
  </si>
  <si>
    <t xml:space="preserve">Tramo 2   (56,27–57,88 km)
Antes de PTAR Guachené  →  Después de PTAR Guachené</t>
  </si>
  <si>
    <t xml:space="preserve">Tramo 3   (57,88–65,19 km)
Después de PTAR Guachené  →  Puente del Maíz</t>
  </si>
  <si>
    <t xml:space="preserve">Tramo 4   (65,19–68,68 km)
Puente del Maíz  →  Antes Bocatoma Propal</t>
  </si>
  <si>
    <t xml:space="preserve">Tramo 5   (68,68–71,47 km)
Antes Bocatoma Propal  →  Puente PICC</t>
  </si>
  <si>
    <t xml:space="preserve">Tramo 6   (71,47–73,28 km)
Puente PICC  →  Puente Perico Negro</t>
  </si>
  <si>
    <t xml:space="preserve">Tramo 7   (73,28–75,41 km)
Puente Perico Negro  →  Puente Puerto Tejada</t>
  </si>
  <si>
    <t xml:space="preserve">Tramo 8   (75,41–83,10 km)
Puente Puerto Tejada  →  Desembocadura a río Cauca</t>
  </si>
  <si>
    <t xml:space="preserve">RÍO DESBARATADO   —   2 tramos   ·   1.613,7 ha de caña en el buffer de 700 m</t>
  </si>
  <si>
    <t xml:space="preserve">Tramo 1   (0,00–40,93 km)
Antes de bocatoma cabecera Miranda  →  Antes de porcícola (Pte. Jordán)</t>
  </si>
  <si>
    <t xml:space="preserve">Tramo 2   (40,93–65,38 km)
Antes de porcícola (Pte. Jordán)  →  Puente Ortigal</t>
  </si>
  <si>
    <t xml:space="preserve">RÍO AMAIME   —   3 tramos   ·   3.475,9 ha de caña en el buffer de 700 m</t>
  </si>
  <si>
    <t xml:space="preserve">Tramo 1   (0,00–43,85 km)
Despues Caserio Auji  →  Antes Caserio el Placer</t>
  </si>
  <si>
    <t xml:space="preserve">Tramo 2   (43,85–46,06 km)
Antes Caserio el Placer  →  Antes desembocadura de Rio Nima</t>
  </si>
  <si>
    <t xml:space="preserve">Tramo 3   (46,06–86,29 km)
Antes desembocadura de Rio Nima  →  antes Desembocadura a Rio Cauca</t>
  </si>
  <si>
    <t xml:space="preserve">RÍO NIMA   —   1 tramo   ·   896,6 ha de caña en el buffer de 700 m</t>
  </si>
  <si>
    <t xml:space="preserve">Tramo 1   (0,00–39,57 km)
Antes Caserio de tenjo  →  Antes desembocadura a rio Amaime</t>
  </si>
  <si>
    <t xml:space="preserve">RÍO GUABAS   —   1 tramo   ·   1.825,8 ha de caña en el buffer de 700 m</t>
  </si>
  <si>
    <t xml:space="preserve">Tramo 1   (0,00–42,23 km)
Antes Mina La Victoria  →  Antes desembocadura a Río Cauca</t>
  </si>
  <si>
    <t xml:space="preserve">RÍO ZABALETAS   —   3 tramos   ·   2.527,0 ha de caña en el buffer de 700 m</t>
  </si>
  <si>
    <t xml:space="preserve">Tramo 1   (0,00–14,87 km)
Antes caserío Los Medios  →  Cruce sector vía La Novillera</t>
  </si>
  <si>
    <t xml:space="preserve">Tramo 2   (14,87–20,10 km)
Cruce sector vía La Novillera  →  Puente vía Santa Elena-Ginebra</t>
  </si>
  <si>
    <t xml:space="preserve">Tramo 3   (20,10–43,35 km)
Puente vía Santa Elena-Ginebra  →  Antes desembocadura a Rio Cauca</t>
  </si>
  <si>
    <t xml:space="preserve">RÍO GUADALAJARA   —   3 tramos   ·   266,9 ha de caña en el buffer de 700 m</t>
  </si>
  <si>
    <t xml:space="preserve">Tramo 1   (0,00–16,96 km)
La Piscina - Vía a Alaska  →  Bocatoma Acueducto Buga</t>
  </si>
  <si>
    <t xml:space="preserve">Tramo 2   (16,96–21,65 km)
Bocatoma Acueducto Buga  →  Puente Frente vía Ferrea</t>
  </si>
  <si>
    <t xml:space="preserve">Tramo 3   (21,65–26,18 km)
Puente Frente vía Ferrea  →  antes desembocadura a Rio Cauca (El Porvenir)</t>
  </si>
  <si>
    <t xml:space="preserve">RÍO RIOFRÍO   —   4 tramos   ·   504,8 ha de caña en el buffer de 700 m</t>
  </si>
  <si>
    <t xml:space="preserve">Tramo 1   (0,00–25,62 km)
Rio Guayabal  →  puente despues Salonica - limnigrafo CVC</t>
  </si>
  <si>
    <t xml:space="preserve">Tramo 2   (25,62–33,19 km)
puente despues Salonica - limnigrafo CVC  →  Bocatoma Acueducto de Riofrio</t>
  </si>
  <si>
    <t xml:space="preserve">Tramo 3   (33,19–38,14 km)
Bocatoma Acueducto de Riofrio  →  Antes Municipio Riofrio</t>
  </si>
  <si>
    <t xml:space="preserve">Tramo 4   (38,14–43,69 km)
Antes Municipio Riofrio  →  Antes desembocadura a Río Cauca</t>
  </si>
  <si>
    <t xml:space="preserve">RÍO TULUÁ   —   4 tramos   ·   631,3 ha de caña en el buffer de 700 m</t>
  </si>
  <si>
    <t xml:space="preserve">Tramo 1   (0,00–61,52 km)
Antes Jardin Botanico (limnigrafo CVC)  →  Puente Ferrocarril Barrio La Trinidad</t>
  </si>
  <si>
    <t xml:space="preserve">Tramo 2   (61,52–62,72 km)
Puente Ferrocarril Barrio La Trinidad  →  Puente Nuevo (Barrio 7 de Agosto)</t>
  </si>
  <si>
    <t xml:space="preserve">Tramo 3   (62,72–64,00 km)
Puente Nuevo (Barrio 7 de Agosto)  →  Despues Urbanizacion Maracaibo</t>
  </si>
  <si>
    <t xml:space="preserve">Tramo 4   (64,00–73,36 km)
Despues Urbanizacion Maracaibo  →  antes desembocadura a Río Cauca (vereda El Salto)</t>
  </si>
  <si>
    <t xml:space="preserve">RÍO BUGALAGRANDE   —   3 tramos   ·   1.282,6 ha de caña en el buffer de 700 m</t>
  </si>
  <si>
    <t xml:space="preserve">Tramo 1   (0,00–81,61 km)
Puente antes Caserio San Rafael.  →  Conciviles - Andalucía</t>
  </si>
  <si>
    <t xml:space="preserve">Tramo 2   (81,61–85,13 km)
Conciviles - Andalucía  →  Puente Variante Bugalagrande</t>
  </si>
  <si>
    <t xml:space="preserve">Tramo 3   (85,13–99,43 km)
Puente Variante Bugalagrande  →  antes desembocadura a Río Cauca - Hacienda El Guayabo</t>
  </si>
  <si>
    <t xml:space="preserve">RÍO LA PAILA   —   3 tramos   ·   1.438,9 ha de caña en el buffer de 700 m</t>
  </si>
  <si>
    <t xml:space="preserve">Tramo 1   (0,00–38,26 km)
Rio La Paila - Puente Paila arriba - vía a Sevilla  →  Rio La Paila - antes desembocadura del rio Totoro</t>
  </si>
  <si>
    <t xml:space="preserve">Tramo 2   (38,26–41,75 km)
Rio La Paila - antes desembocadura del rio Totoro  →  Rio La Paila - Planta Acuavalle</t>
  </si>
  <si>
    <t xml:space="preserve">Tramo 3   (41,75–66,47 km)
Rio La Paila - Planta Acuavalle  →  Rio La Paila - Antes desembocadura a Rio Cauca</t>
  </si>
  <si>
    <t xml:space="preserve">RÍO RISARALDA   —   3 tramos   ·   678,4 ha de caña en el buffer de 700 m</t>
  </si>
  <si>
    <t xml:space="preserve">Tramo 1   (0,00–64,84 km)
Antes Descarga Municipio Mistrató  →  Las Palmeras</t>
  </si>
  <si>
    <t xml:space="preserve">Tramo 2   (64,84–65,08 km)
Las Palmeras  →  Desembocadura</t>
  </si>
  <si>
    <t xml:space="preserve">Tramo 3   (65,08–107,85 km)
Desembocadura  →  Puente Negro</t>
  </si>
  <si>
    <t xml:space="preserve">Mediciones individuales de calidad usadas en la regresión</t>
  </si>
  <si>
    <t xml:space="preserve">Cada fila es una muestra puntual de la red de monitoreo (fuente: Calidad_agua_completo_v12.xlsx, hoja CONSOLIDADO, columnas AF = Nitrógeno Total y AK = Fósforo Total). Solo se incluyen las estaciones que cierran un tramo en el archivo tramos_cana_tributarios.csv. El área de caña acumulada es la suma de las áreas de todos los tramos del río situados aguas arriba de la estación, inclusive. Los valores reportados por el laboratorio como "&lt; LC" se contabilizaron con el límite de cuantificación completo.</t>
  </si>
  <si>
    <t xml:space="preserve">Tramo</t>
  </si>
  <si>
    <t xml:space="preserve">Fecha</t>
  </si>
  <si>
    <t xml:space="preserve">Carga N caña
acum. (kg/año)</t>
  </si>
  <si>
    <t xml:space="preserve">N-Total
(mg/L)</t>
  </si>
  <si>
    <t xml:space="preserve">Carga P caña
acum. (kg/año)</t>
  </si>
  <si>
    <t xml:space="preserve">P-Total
(mg/L)</t>
  </si>
  <si>
    <t xml:space="preserve">Rio Bolo - Puente Pradera - Palmira</t>
  </si>
  <si>
    <t xml:space="preserve">02/04/2019</t>
  </si>
  <si>
    <t xml:space="preserve">03/05/2023</t>
  </si>
  <si>
    <t xml:space="preserve">07/10/2024</t>
  </si>
  <si>
    <t xml:space="preserve">09/08/2021</t>
  </si>
  <si>
    <t xml:space="preserve">12/05/2022</t>
  </si>
  <si>
    <t xml:space="preserve">12/09/2023</t>
  </si>
  <si>
    <t xml:space="preserve">14/06/2016</t>
  </si>
  <si>
    <t xml:space="preserve">16/04/2018</t>
  </si>
  <si>
    <t xml:space="preserve">21/08/2019</t>
  </si>
  <si>
    <t xml:space="preserve">22/04/2024</t>
  </si>
  <si>
    <t xml:space="preserve">22/05/2025</t>
  </si>
  <si>
    <t xml:space="preserve">22/08/2017</t>
  </si>
  <si>
    <t xml:space="preserve">23/08/2022</t>
  </si>
  <si>
    <t xml:space="preserve">24/11/2021</t>
  </si>
  <si>
    <t xml:space="preserve">26/04/2017</t>
  </si>
  <si>
    <t xml:space="preserve">31/10/2016</t>
  </si>
  <si>
    <t xml:space="preserve">Rio Bolo - Puente Bolo - San Isidro - vía a Candelaria</t>
  </si>
  <si>
    <t xml:space="preserve">Rio Bolo - Antes desembocadura a Frayle en puente Recta Cali - Palmira</t>
  </si>
  <si>
    <t xml:space="preserve">Rio Frayle - Puente Vía a Miranda</t>
  </si>
  <si>
    <t xml:space="preserve">Rio Frayle - Limnigrafo CVC - caserio Brisas de Frayle</t>
  </si>
  <si>
    <t xml:space="preserve">Rio Frayle - Antes Desembocadura a rio Guachal Recta Cali Palmira</t>
  </si>
  <si>
    <t xml:space="preserve">10/06/2021</t>
  </si>
  <si>
    <t xml:space="preserve">10/11/2021</t>
  </si>
  <si>
    <t xml:space="preserve">13/04/2023</t>
  </si>
  <si>
    <t xml:space="preserve">17/08/2023</t>
  </si>
  <si>
    <t xml:space="preserve">21/05/2022</t>
  </si>
  <si>
    <t xml:space="preserve">25/08/2021</t>
  </si>
  <si>
    <t xml:space="preserve">28/10/2020</t>
  </si>
  <si>
    <t xml:space="preserve">30/08/2022</t>
  </si>
  <si>
    <t xml:space="preserve">31/10/2022</t>
  </si>
  <si>
    <t xml:space="preserve">31/10/2023</t>
  </si>
  <si>
    <t xml:space="preserve">01/11/2023</t>
  </si>
  <si>
    <t xml:space="preserve">02/09/2022</t>
  </si>
  <si>
    <t xml:space="preserve">03/11/2021</t>
  </si>
  <si>
    <t xml:space="preserve">03/12/2020</t>
  </si>
  <si>
    <t xml:space="preserve">06/04/2022</t>
  </si>
  <si>
    <t xml:space="preserve">11/11/2022</t>
  </si>
  <si>
    <t xml:space="preserve">21/04/2021</t>
  </si>
  <si>
    <t xml:space="preserve">22/12/2020</t>
  </si>
  <si>
    <t xml:space="preserve">24/08/2023</t>
  </si>
  <si>
    <t xml:space="preserve">28/03/2023</t>
  </si>
  <si>
    <t xml:space="preserve">29/07/2021</t>
  </si>
  <si>
    <t xml:space="preserve">Rio Amaime - Antes Caserio el Placer</t>
  </si>
  <si>
    <t xml:space="preserve">03/08/2017</t>
  </si>
  <si>
    <t xml:space="preserve">05/04/2017</t>
  </si>
  <si>
    <t xml:space="preserve">05/06/2024</t>
  </si>
  <si>
    <t xml:space="preserve">06/06/2019</t>
  </si>
  <si>
    <t xml:space="preserve">07/07/2016</t>
  </si>
  <si>
    <t xml:space="preserve">07/09/2022</t>
  </si>
  <si>
    <t xml:space="preserve">08/10/2025</t>
  </si>
  <si>
    <t xml:space="preserve">09/07/2024</t>
  </si>
  <si>
    <t xml:space="preserve">10/10/2023</t>
  </si>
  <si>
    <t xml:space="preserve">14/10/2020</t>
  </si>
  <si>
    <t xml:space="preserve">19/08/2021</t>
  </si>
  <si>
    <t xml:space="preserve">23/04/2025</t>
  </si>
  <si>
    <t xml:space="preserve">23/06/2021</t>
  </si>
  <si>
    <t xml:space="preserve">27/10/2016</t>
  </si>
  <si>
    <t xml:space="preserve">29/03/2022</t>
  </si>
  <si>
    <t xml:space="preserve">29/08/2018</t>
  </si>
  <si>
    <t xml:space="preserve">30/07/2019</t>
  </si>
  <si>
    <t xml:space="preserve">31/05/2018</t>
  </si>
  <si>
    <t xml:space="preserve">31/07/2023</t>
  </si>
  <si>
    <t xml:space="preserve">Rio Amaime - Antes desembocadura de Rio Nima</t>
  </si>
  <si>
    <t xml:space="preserve">Rio Nima - Antes desembocadura a rio Amaime</t>
  </si>
  <si>
    <t xml:space="preserve">02/04/2025</t>
  </si>
  <si>
    <t xml:space="preserve">03/08/2021</t>
  </si>
  <si>
    <t xml:space="preserve">03/10/2024</t>
  </si>
  <si>
    <t xml:space="preserve">09/10/2025</t>
  </si>
  <si>
    <t xml:space="preserve">10/04/2018</t>
  </si>
  <si>
    <t xml:space="preserve">22/06/2021</t>
  </si>
  <si>
    <t xml:space="preserve">24/05/2016</t>
  </si>
  <si>
    <t xml:space="preserve">24/06/2024</t>
  </si>
  <si>
    <t xml:space="preserve">24/08/2017</t>
  </si>
  <si>
    <t xml:space="preserve">25/04/2019</t>
  </si>
  <si>
    <t xml:space="preserve">26/04/2023</t>
  </si>
  <si>
    <t xml:space="preserve">28/04/2022</t>
  </si>
  <si>
    <t xml:space="preserve">28/07/2022</t>
  </si>
  <si>
    <t xml:space="preserve">30/08/2018</t>
  </si>
  <si>
    <t xml:space="preserve">30/08/2023</t>
  </si>
  <si>
    <t xml:space="preserve">Rio Guabas - Antes desembocadura a Río Cauca</t>
  </si>
  <si>
    <t xml:space="preserve">03/04/2019</t>
  </si>
  <si>
    <t xml:space="preserve">07/03/2024</t>
  </si>
  <si>
    <t xml:space="preserve">07/05/2025</t>
  </si>
  <si>
    <t xml:space="preserve">08/08/2023</t>
  </si>
  <si>
    <t xml:space="preserve">12/08/2024</t>
  </si>
  <si>
    <t xml:space="preserve">15/10/2020</t>
  </si>
  <si>
    <t xml:space="preserve">16/08/2022</t>
  </si>
  <si>
    <t xml:space="preserve">17/04/2018</t>
  </si>
  <si>
    <t xml:space="preserve">17/06/2022</t>
  </si>
  <si>
    <t xml:space="preserve">20/06/2023</t>
  </si>
  <si>
    <t xml:space="preserve">22/09/2021</t>
  </si>
  <si>
    <t xml:space="preserve">23/08/2017</t>
  </si>
  <si>
    <t xml:space="preserve">26/10/2016</t>
  </si>
  <si>
    <t xml:space="preserve">27/07/2016</t>
  </si>
  <si>
    <t xml:space="preserve">31/07/2019</t>
  </si>
  <si>
    <t xml:space="preserve">Rio Sabaletas - Cruce sector vía La Novillera</t>
  </si>
  <si>
    <t xml:space="preserve">30/05/2017</t>
  </si>
  <si>
    <t xml:space="preserve">Rio Sabaletas - Puente vía Santa Elena-Ginebra</t>
  </si>
  <si>
    <t xml:space="preserve">Rio Sabaletas - Antes desembocadura a Rio Cauca</t>
  </si>
  <si>
    <t xml:space="preserve">04/04/2017</t>
  </si>
  <si>
    <t xml:space="preserve">09/08/2017</t>
  </si>
  <si>
    <t xml:space="preserve">09/08/2018</t>
  </si>
  <si>
    <t xml:space="preserve">12/07/2022</t>
  </si>
  <si>
    <t xml:space="preserve">13/08/2025</t>
  </si>
  <si>
    <t xml:space="preserve">14/05/2025</t>
  </si>
  <si>
    <t xml:space="preserve">20/10/2020</t>
  </si>
  <si>
    <t xml:space="preserve">25/07/2019</t>
  </si>
  <si>
    <t xml:space="preserve">27/04/2023</t>
  </si>
  <si>
    <t xml:space="preserve">28/05/2024</t>
  </si>
  <si>
    <t xml:space="preserve">29/06/2016</t>
  </si>
  <si>
    <t xml:space="preserve">31/03/2022</t>
  </si>
  <si>
    <t xml:space="preserve">31/07/2024</t>
  </si>
  <si>
    <t xml:space="preserve">Rio Guadalajara - Puente Frente vía Ferrea</t>
  </si>
  <si>
    <t xml:space="preserve">02/08/2018</t>
  </si>
  <si>
    <t xml:space="preserve">06/04/2017</t>
  </si>
  <si>
    <t xml:space="preserve">06/06/2024</t>
  </si>
  <si>
    <t xml:space="preserve">11/04/2018</t>
  </si>
  <si>
    <t xml:space="preserve">12/10/2023</t>
  </si>
  <si>
    <t xml:space="preserve">13/06/2023</t>
  </si>
  <si>
    <t xml:space="preserve">15/09/2020</t>
  </si>
  <si>
    <t xml:space="preserve">15/10/2024</t>
  </si>
  <si>
    <t xml:space="preserve">25/05/2016</t>
  </si>
  <si>
    <t xml:space="preserve">25/10/2021</t>
  </si>
  <si>
    <t xml:space="preserve">29/08/2022</t>
  </si>
  <si>
    <t xml:space="preserve">30/03/2022</t>
  </si>
  <si>
    <t xml:space="preserve">30/04/2019</t>
  </si>
  <si>
    <t xml:space="preserve">Rio Riofrio - Antes Municipio Riofrio</t>
  </si>
  <si>
    <t xml:space="preserve">Rio Riofrio - Antes desembocadura a Río Cauca</t>
  </si>
  <si>
    <t xml:space="preserve">02/05/2023</t>
  </si>
  <si>
    <t xml:space="preserve">04/05/2022</t>
  </si>
  <si>
    <t xml:space="preserve">08/06/2016</t>
  </si>
  <si>
    <t xml:space="preserve">08/08/2019</t>
  </si>
  <si>
    <t xml:space="preserve">13/07/2021</t>
  </si>
  <si>
    <t xml:space="preserve">13/08/2024</t>
  </si>
  <si>
    <t xml:space="preserve">13/09/2023</t>
  </si>
  <si>
    <t xml:space="preserve">14/03/2024</t>
  </si>
  <si>
    <t xml:space="preserve">16/08/2017</t>
  </si>
  <si>
    <t xml:space="preserve">18/09/2025</t>
  </si>
  <si>
    <t xml:space="preserve">20/10/2016</t>
  </si>
  <si>
    <t xml:space="preserve">25/04/2017</t>
  </si>
  <si>
    <t xml:space="preserve">25/06/2025</t>
  </si>
  <si>
    <t xml:space="preserve">29/09/2021</t>
  </si>
  <si>
    <t xml:space="preserve">31/08/2020</t>
  </si>
  <si>
    <t xml:space="preserve">Rio Tulua - Puente Nuevo (Barrio 7 de Agosto)</t>
  </si>
  <si>
    <t xml:space="preserve">Rio Tulua - Despues Urbanizacion Maracaibo</t>
  </si>
  <si>
    <t xml:space="preserve">04/09/2025</t>
  </si>
  <si>
    <t xml:space="preserve">10/05/2022</t>
  </si>
  <si>
    <t xml:space="preserve">10/08/2017</t>
  </si>
  <si>
    <t xml:space="preserve">12/03/2025</t>
  </si>
  <si>
    <t xml:space="preserve">12/08/2019</t>
  </si>
  <si>
    <t xml:space="preserve">14/07/2021</t>
  </si>
  <si>
    <t xml:space="preserve">15/09/2022</t>
  </si>
  <si>
    <t xml:space="preserve">17/08/2021</t>
  </si>
  <si>
    <t xml:space="preserve">25/07/2018</t>
  </si>
  <si>
    <t xml:space="preserve">26/10/2023</t>
  </si>
  <si>
    <t xml:space="preserve">27/08/2024</t>
  </si>
  <si>
    <t xml:space="preserve">28/02/2018</t>
  </si>
  <si>
    <t xml:space="preserve">29/05/2019</t>
  </si>
  <si>
    <t xml:space="preserve">Rio Bugalagrande - Puente Variante Bugalagrande</t>
  </si>
  <si>
    <t xml:space="preserve">Rio La Paila - antes desembocadura del rio Totoro</t>
  </si>
  <si>
    <t xml:space="preserve">04/05/2016</t>
  </si>
  <si>
    <t xml:space="preserve">09/05/2023</t>
  </si>
  <si>
    <t xml:space="preserve">10/07/2025</t>
  </si>
  <si>
    <t xml:space="preserve">15/08/2017</t>
  </si>
  <si>
    <t xml:space="preserve">16/07/2020</t>
  </si>
  <si>
    <t xml:space="preserve">19/04/2022</t>
  </si>
  <si>
    <t xml:space="preserve">20/06/2024</t>
  </si>
  <si>
    <t xml:space="preserve">21/03/2018</t>
  </si>
  <si>
    <t xml:space="preserve">22/07/2021</t>
  </si>
  <si>
    <t xml:space="preserve">23/04/2019</t>
  </si>
  <si>
    <t xml:space="preserve">23/07/2019</t>
  </si>
  <si>
    <t xml:space="preserve">25/10/2016</t>
  </si>
  <si>
    <t xml:space="preserve">26/07/2022</t>
  </si>
  <si>
    <t xml:space="preserve">30/11/2021</t>
  </si>
  <si>
    <t xml:space="preserve">31/08/2023</t>
  </si>
  <si>
    <t xml:space="preserve">Rio La Paila - Antes desembocadura a Rio Cauca</t>
  </si>
  <si>
    <t xml:space="preserve">2025-10-14</t>
  </si>
  <si>
    <t xml:space="preserve">Por qué no fue posible normalizar por caudal</t>
  </si>
  <si>
    <t xml:space="preserve">La normalización por caudal (convertir la concentración observada en carga, kg/día = mg/L × L/s × 0,0864) permitiría comparar la carga estimada de la caña contra la carga realmente transportada por el río, eliminando el efecto de dilución. El archivo Calidad_agua_completo_v12.xlsx incluye una columna de caudal (CONSOLIDADO, columna AY), pero su contenido no permite hacer el cálculo. Esta hoja documenta el estado real del dato para poder solicitarlo formalmente a la CVC.</t>
  </si>
  <si>
    <t xml:space="preserve">Muestras con
caudal</t>
  </si>
  <si>
    <t xml:space="preserve">Caudal mín</t>
  </si>
  <si>
    <t xml:space="preserve">Caudal mediana</t>
  </si>
  <si>
    <t xml:space="preserve">Caudal máx</t>
  </si>
  <si>
    <t xml:space="preserve">Cobertura</t>
  </si>
  <si>
    <t xml:space="preserve">De los 15 tributarios priorizados, solo tres registran caudal: Palo y Desbaratado (CRC) y Risaralda (CARDER). Los doce ríos monitoreados por la CVC en el Valle del Cauca —incluidos Bolo, Fraile, Amaime, Guabas, Tuluá, Zabaletas y los demás— tienen la columna de caudal completamente vacía en las 1.567 filas del archivo.</t>
  </si>
  <si>
    <t xml:space="preserve">Muestras utilizables</t>
  </si>
  <si>
    <t xml:space="preserve">Cruzando caudal con nutrientes en la misma muestra quedan 52 registros con N y caudal y 64 con P y caudal, sobre 1.567 filas. En Risaralda, que es el río con más caudales (217), solo un registro tiene además nutrientes.</t>
  </si>
  <si>
    <t xml:space="preserve">Unidades inconsistentes</t>
  </si>
  <si>
    <t xml:space="preserve">En Palo y Desbaratado los valores de una misma estación van de 0,00 a más de 13.000 con el encabezado "Caudal (l/s)". La estación "Antes de PTAR Guachené" tiene mediana 12,44 y máximo 13.122: la columna mezcla lecturas en m³/s con lecturas en L/s. Usarlas sin depurar produciría cargas erradas en tres órdenes de magnitud.</t>
  </si>
  <si>
    <t xml:space="preserve">Ceros imposibles</t>
  </si>
  <si>
    <t xml:space="preserve">Varias estaciones registran caudal 0,00 en ríos permanentes. Son datos faltantes codificados como cero, no caudales reales; entrarían al cálculo como carga nula.</t>
  </si>
  <si>
    <t xml:space="preserve">Qué se necesita</t>
  </si>
  <si>
    <t xml:space="preserve">Series de caudal de las estaciones limnigráficas de la CVC emparejadas por fecha con cada campaña de calidad, en unidad declarada y sin ceros de relleno. Con eso, la conversión a kg/día y el porcentaje de carga atribuible a la caña quedan resueltos con las fórmulas que ya están montadas.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</si>
</sst>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.0"/>
    <numFmt numFmtId="167" formatCode="0.00"/>
    <numFmt numFmtId="168" formatCode="#,##0.00"/>
    <numFmt numFmtId="169" formatCode="#,##0"/>
    <numFmt numFmtId="170" formatCode="#,##0.0"/>
    <numFmt numFmtId="171" formatCode="0"/>
    <numFmt numFmtId="172" formatCode="0.0%"/>
    <numFmt numFmtId="173" formatCode="0.000"/>
    <numFmt numFmtId="174" formatCode="0.00E+00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i val="true"/>
      <sz val="9"/>
      <color rgb="FF0000FF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B0082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FF"/>
      <name val="Arial"/>
      <family val="2"/>
      <charset val="1"/>
    </font>
    <font>
      <b val="true"/>
      <sz val="9"/>
      <color rgb="FF0000FF"/>
      <name val="Arial"/>
      <family val="2"/>
      <charset val="1"/>
    </font>
    <font>
      <sz val="9"/>
      <color rgb="FF1F7849"/>
      <name val="Arial"/>
      <family val="2"/>
      <charset val="1"/>
    </font>
    <font>
      <i val="true"/>
      <sz val="9"/>
      <color rgb="FF595959"/>
      <name val="Arial"/>
      <family val="2"/>
      <charset val="1"/>
    </font>
    <font>
      <b val="true"/>
      <sz val="9"/>
      <color rgb="FF1F784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4B0082"/>
      <name val="Arial"/>
      <family val="2"/>
      <charset val="1"/>
    </font>
    <font>
      <b val="true"/>
      <sz val="10"/>
      <color rgb="FF4B0082"/>
      <name val="Arial"/>
      <family val="2"/>
      <charset val="1"/>
    </font>
    <font>
      <sz val="10"/>
      <color rgb="FF1F7849"/>
      <name val="Arial"/>
      <family val="2"/>
      <charset val="1"/>
    </font>
    <font>
      <b val="true"/>
      <sz val="10"/>
      <color rgb="FF1F7849"/>
      <name val="Arial"/>
      <family val="2"/>
      <charset val="1"/>
    </font>
    <font>
      <sz val="10"/>
      <color rgb="FFC55A11"/>
      <name val="Arial"/>
      <family val="2"/>
      <charset val="1"/>
    </font>
    <font>
      <b val="true"/>
      <sz val="10"/>
      <color rgb="FFC55A11"/>
      <name val="Arial"/>
      <family val="2"/>
      <charset val="1"/>
    </font>
    <font>
      <b val="true"/>
      <sz val="10"/>
      <color theme="4"/>
      <name val="Arial"/>
      <family val="2"/>
      <charset val="1"/>
    </font>
    <font>
      <sz val="10"/>
      <name val="Arial"/>
      <family val="2"/>
    </font>
    <font>
      <b val="true"/>
      <sz val="11"/>
      <color rgb="FFFFFFFF"/>
      <name val="Arial"/>
      <family val="2"/>
      <charset val="1"/>
    </font>
    <font>
      <b val="true"/>
      <sz val="9"/>
      <color rgb="FFFFFFFF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color rgb="FF4B0082"/>
      <name val="Times New Roman"/>
      <family val="1"/>
      <charset val="1"/>
    </font>
    <font>
      <b val="true"/>
      <sz val="10"/>
      <color rgb="FF1F784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4"/>
      <color rgb="FF1F4E5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1F4E5F"/>
      </patternFill>
    </fill>
    <fill>
      <patternFill patternType="solid">
        <fgColor rgb="FF7030A0"/>
        <bgColor rgb="FF993366"/>
      </patternFill>
    </fill>
    <fill>
      <patternFill patternType="solid">
        <fgColor rgb="FF9966CC"/>
        <bgColor rgb="FF4F81BD"/>
      </patternFill>
    </fill>
    <fill>
      <patternFill patternType="solid">
        <fgColor rgb="FFFFFFFF"/>
        <bgColor rgb="FFF7F7FF"/>
      </patternFill>
    </fill>
    <fill>
      <patternFill patternType="solid">
        <fgColor rgb="FFEBF3FB"/>
        <bgColor rgb="FFF4F0FF"/>
      </patternFill>
    </fill>
    <fill>
      <patternFill patternType="solid">
        <fgColor rgb="FFF4F0FF"/>
        <bgColor rgb="FFEBF3FB"/>
      </patternFill>
    </fill>
    <fill>
      <patternFill patternType="solid">
        <fgColor rgb="FF375623"/>
        <bgColor rgb="FF1F4E5F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DCE6EA"/>
      </patternFill>
    </fill>
    <fill>
      <patternFill patternType="solid">
        <fgColor rgb="FFF0FFF4"/>
        <bgColor rgb="FFF4F9FF"/>
      </patternFill>
    </fill>
    <fill>
      <patternFill patternType="solid">
        <fgColor rgb="FFC55A11"/>
        <bgColor rgb="FFD65E0A"/>
      </patternFill>
    </fill>
    <fill>
      <patternFill patternType="solid">
        <fgColor rgb="FFD65E0A"/>
        <bgColor rgb="FFC55A11"/>
      </patternFill>
    </fill>
    <fill>
      <patternFill patternType="solid">
        <fgColor rgb="FFFFF5EB"/>
        <bgColor rgb="FFF7F7FF"/>
      </patternFill>
    </fill>
    <fill>
      <patternFill patternType="solid">
        <fgColor rgb="FF2E75B6"/>
        <bgColor rgb="FF2A78D6"/>
      </patternFill>
    </fill>
    <fill>
      <patternFill patternType="solid">
        <fgColor rgb="FF00B0F0"/>
        <bgColor rgb="FF33CCCC"/>
      </patternFill>
    </fill>
    <fill>
      <patternFill patternType="solid">
        <fgColor rgb="FFEDE7F6"/>
        <bgColor rgb="FFF4F0FF"/>
      </patternFill>
    </fill>
    <fill>
      <patternFill patternType="solid">
        <fgColor rgb="FFFFE0B2"/>
        <bgColor rgb="FFFFF2CC"/>
      </patternFill>
    </fill>
    <fill>
      <patternFill patternType="solid">
        <fgColor theme="8" tint="0.7998"/>
        <bgColor rgb="FFDCE6EA"/>
      </patternFill>
    </fill>
    <fill>
      <patternFill patternType="solid">
        <fgColor rgb="FFF7F7FF"/>
        <bgColor rgb="FFF4F9FF"/>
      </patternFill>
    </fill>
    <fill>
      <patternFill patternType="solid">
        <fgColor rgb="FFFFF2CC"/>
        <bgColor rgb="FFFFF5EB"/>
      </patternFill>
    </fill>
    <fill>
      <patternFill patternType="solid">
        <fgColor rgb="FFF4F9FF"/>
        <bgColor rgb="FFF7F7FF"/>
      </patternFill>
    </fill>
    <fill>
      <patternFill patternType="solid">
        <fgColor rgb="FF1F4E5F"/>
        <bgColor rgb="FF1F4E79"/>
      </patternFill>
    </fill>
    <fill>
      <patternFill patternType="solid">
        <fgColor rgb="FFDCE6EA"/>
        <bgColor rgb="FFDBEE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/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1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2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FF4"/>
      <rgbColor rgb="FFFF00FF"/>
      <rgbColor rgb="FF00FFFF"/>
      <rgbColor rgb="FF800000"/>
      <rgbColor rgb="FF008000"/>
      <rgbColor rgb="FF000080"/>
      <rgbColor rgb="FF548235"/>
      <rgbColor rgb="FF800080"/>
      <rgbColor rgb="FF1F7849"/>
      <rgbColor rgb="FFBFBFBF"/>
      <rgbColor rgb="FF4F81BD"/>
      <rgbColor rgb="FF9966CC"/>
      <rgbColor rgb="FF7030A0"/>
      <rgbColor rgb="FFFFF2CC"/>
      <rgbColor rgb="FFDBEEF4"/>
      <rgbColor rgb="FF4B0082"/>
      <rgbColor rgb="FFFF8080"/>
      <rgbColor rgb="FF2E75B6"/>
      <rgbColor rgb="FFD9D9D9"/>
      <rgbColor rgb="FF000080"/>
      <rgbColor rgb="FFFF00FF"/>
      <rgbColor rgb="FFF7F7FF"/>
      <rgbColor rgb="FF00FFFF"/>
      <rgbColor rgb="FF800080"/>
      <rgbColor rgb="FF800000"/>
      <rgbColor rgb="FF008080"/>
      <rgbColor rgb="FF0000FF"/>
      <rgbColor rgb="FF00B0F0"/>
      <rgbColor rgb="FFEBF3FB"/>
      <rgbColor rgb="FFE2EFDA"/>
      <rgbColor rgb="FFFFF5EB"/>
      <rgbColor rgb="FFDCE6EA"/>
      <rgbColor rgb="FFEDE7F6"/>
      <rgbColor rgb="FFF4F0FF"/>
      <rgbColor rgb="FFFFE0B2"/>
      <rgbColor rgb="FF2A78D6"/>
      <rgbColor rgb="FF33CCCC"/>
      <rgbColor rgb="FF99CC00"/>
      <rgbColor rgb="FFF4F9FF"/>
      <rgbColor rgb="FFD65E0A"/>
      <rgbColor rgb="FFEB6834"/>
      <rgbColor rgb="FF595959"/>
      <rgbColor rgb="FFB3B3B3"/>
      <rgbColor rgb="FF1F4E5F"/>
      <rgbColor rgb="FF339966"/>
      <rgbColor rgb="FF003300"/>
      <rgbColor rgb="FF333300"/>
      <rgbColor rgb="FFC55A11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BOLO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Datos_Individuales!$F$5:$F$52</c:f>
              <c:numCache>
                <c:formatCode>#,##0</c:formatCode>
                <c:ptCount val="48"/>
                <c:pt idx="0">
                  <c:v>1403.568</c:v>
                </c:pt>
                <c:pt idx="1">
                  <c:v>1403.568</c:v>
                </c:pt>
                <c:pt idx="2">
                  <c:v>1403.568</c:v>
                </c:pt>
                <c:pt idx="3">
                  <c:v>1403.568</c:v>
                </c:pt>
                <c:pt idx="4">
                  <c:v>1403.568</c:v>
                </c:pt>
                <c:pt idx="5">
                  <c:v>1403.568</c:v>
                </c:pt>
                <c:pt idx="6">
                  <c:v>1403.568</c:v>
                </c:pt>
                <c:pt idx="7">
                  <c:v>1403.568</c:v>
                </c:pt>
                <c:pt idx="8">
                  <c:v>1403.568</c:v>
                </c:pt>
                <c:pt idx="9">
                  <c:v>1403.568</c:v>
                </c:pt>
                <c:pt idx="10">
                  <c:v>1403.568</c:v>
                </c:pt>
                <c:pt idx="11">
                  <c:v>1403.568</c:v>
                </c:pt>
                <c:pt idx="12">
                  <c:v>1403.568</c:v>
                </c:pt>
                <c:pt idx="13">
                  <c:v>1403.568</c:v>
                </c:pt>
                <c:pt idx="14">
                  <c:v>1403.568</c:v>
                </c:pt>
                <c:pt idx="15">
                  <c:v>1403.568</c:v>
                </c:pt>
                <c:pt idx="16">
                  <c:v>9132.48</c:v>
                </c:pt>
                <c:pt idx="17">
                  <c:v>9132.48</c:v>
                </c:pt>
                <c:pt idx="18">
                  <c:v>9132.48</c:v>
                </c:pt>
                <c:pt idx="19">
                  <c:v>9132.48</c:v>
                </c:pt>
                <c:pt idx="20">
                  <c:v>9132.48</c:v>
                </c:pt>
                <c:pt idx="21">
                  <c:v>9132.48</c:v>
                </c:pt>
                <c:pt idx="22">
                  <c:v>9132.48</c:v>
                </c:pt>
                <c:pt idx="23">
                  <c:v>9132.48</c:v>
                </c:pt>
                <c:pt idx="24">
                  <c:v>9132.48</c:v>
                </c:pt>
                <c:pt idx="25">
                  <c:v>9132.48</c:v>
                </c:pt>
                <c:pt idx="26">
                  <c:v>9132.48</c:v>
                </c:pt>
                <c:pt idx="27">
                  <c:v>9132.48</c:v>
                </c:pt>
                <c:pt idx="28">
                  <c:v>9132.48</c:v>
                </c:pt>
                <c:pt idx="29">
                  <c:v>9132.48</c:v>
                </c:pt>
                <c:pt idx="30">
                  <c:v>9132.48</c:v>
                </c:pt>
                <c:pt idx="31">
                  <c:v>9132.48</c:v>
                </c:pt>
                <c:pt idx="32">
                  <c:v>18215.28</c:v>
                </c:pt>
                <c:pt idx="33">
                  <c:v>18215.28</c:v>
                </c:pt>
                <c:pt idx="34">
                  <c:v>18215.28</c:v>
                </c:pt>
                <c:pt idx="35">
                  <c:v>18215.28</c:v>
                </c:pt>
                <c:pt idx="36">
                  <c:v>18215.28</c:v>
                </c:pt>
                <c:pt idx="37">
                  <c:v>18215.28</c:v>
                </c:pt>
                <c:pt idx="38">
                  <c:v>18215.28</c:v>
                </c:pt>
                <c:pt idx="39">
                  <c:v>18215.28</c:v>
                </c:pt>
                <c:pt idx="40">
                  <c:v>18215.28</c:v>
                </c:pt>
                <c:pt idx="41">
                  <c:v>18215.28</c:v>
                </c:pt>
                <c:pt idx="42">
                  <c:v>18215.28</c:v>
                </c:pt>
                <c:pt idx="43">
                  <c:v>18215.28</c:v>
                </c:pt>
                <c:pt idx="44">
                  <c:v>18215.28</c:v>
                </c:pt>
                <c:pt idx="45">
                  <c:v>18215.28</c:v>
                </c:pt>
                <c:pt idx="46">
                  <c:v>18215.28</c:v>
                </c:pt>
                <c:pt idx="47">
                  <c:v>18215.28</c:v>
                </c:pt>
              </c:numCache>
            </c:numRef>
          </c:xVal>
          <c:yVal>
            <c:numRef>
              <c:f>Datos_Individuales!$G$5:$G$52</c:f>
              <c:numCache>
                <c:formatCode>0.000</c:formatCode>
                <c:ptCount val="48"/>
                <c:pt idx="1">
                  <c:v>0.745</c:v>
                </c:pt>
                <c:pt idx="2">
                  <c:v>0.828</c:v>
                </c:pt>
                <c:pt idx="4">
                  <c:v>0.5</c:v>
                </c:pt>
                <c:pt idx="10">
                  <c:v>1.5</c:v>
                </c:pt>
                <c:pt idx="12">
                  <c:v>0.636</c:v>
                </c:pt>
                <c:pt idx="14">
                  <c:v>2.45</c:v>
                </c:pt>
                <c:pt idx="17">
                  <c:v>1.27</c:v>
                </c:pt>
                <c:pt idx="18">
                  <c:v>5.98</c:v>
                </c:pt>
                <c:pt idx="20">
                  <c:v>1.28</c:v>
                </c:pt>
                <c:pt idx="26">
                  <c:v>2.5</c:v>
                </c:pt>
                <c:pt idx="28">
                  <c:v>0.905</c:v>
                </c:pt>
                <c:pt idx="30">
                  <c:v>6.6</c:v>
                </c:pt>
                <c:pt idx="33">
                  <c:v>1.95</c:v>
                </c:pt>
                <c:pt idx="34">
                  <c:v>4.92</c:v>
                </c:pt>
                <c:pt idx="36">
                  <c:v>2.05</c:v>
                </c:pt>
                <c:pt idx="42">
                  <c:v>2.7</c:v>
                </c:pt>
                <c:pt idx="44">
                  <c:v>0.944</c:v>
                </c:pt>
                <c:pt idx="46">
                  <c:v>5.52</c:v>
                </c:pt>
              </c:numCache>
            </c:numRef>
          </c:yVal>
          <c:smooth val="1"/>
        </c:ser>
        <c:axId val="54578823"/>
        <c:axId val="13548394"/>
      </c:scatterChart>
      <c:valAx>
        <c:axId val="545788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48394"/>
        <c:crosses val="autoZero"/>
        <c:crossBetween val="midCat"/>
      </c:valAx>
      <c:valAx>
        <c:axId val="135483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788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BOLO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Datos_Individuales!$H$5:$H$52</c:f>
              <c:numCache>
                <c:formatCode>#,##0</c:formatCode>
                <c:ptCount val="48"/>
                <c:pt idx="0">
                  <c:v>175.446</c:v>
                </c:pt>
                <c:pt idx="1">
                  <c:v>175.446</c:v>
                </c:pt>
                <c:pt idx="2">
                  <c:v>175.446</c:v>
                </c:pt>
                <c:pt idx="3">
                  <c:v>175.446</c:v>
                </c:pt>
                <c:pt idx="4">
                  <c:v>175.446</c:v>
                </c:pt>
                <c:pt idx="5">
                  <c:v>175.446</c:v>
                </c:pt>
                <c:pt idx="6">
                  <c:v>175.446</c:v>
                </c:pt>
                <c:pt idx="7">
                  <c:v>175.446</c:v>
                </c:pt>
                <c:pt idx="8">
                  <c:v>175.446</c:v>
                </c:pt>
                <c:pt idx="9">
                  <c:v>175.446</c:v>
                </c:pt>
                <c:pt idx="10">
                  <c:v>175.446</c:v>
                </c:pt>
                <c:pt idx="11">
                  <c:v>175.446</c:v>
                </c:pt>
                <c:pt idx="12">
                  <c:v>175.446</c:v>
                </c:pt>
                <c:pt idx="13">
                  <c:v>175.446</c:v>
                </c:pt>
                <c:pt idx="14">
                  <c:v>175.446</c:v>
                </c:pt>
                <c:pt idx="15">
                  <c:v>175.446</c:v>
                </c:pt>
                <c:pt idx="16">
                  <c:v>1141.56</c:v>
                </c:pt>
                <c:pt idx="17">
                  <c:v>1141.56</c:v>
                </c:pt>
                <c:pt idx="18">
                  <c:v>1141.56</c:v>
                </c:pt>
                <c:pt idx="19">
                  <c:v>1141.56</c:v>
                </c:pt>
                <c:pt idx="20">
                  <c:v>1141.56</c:v>
                </c:pt>
                <c:pt idx="21">
                  <c:v>1141.56</c:v>
                </c:pt>
                <c:pt idx="22">
                  <c:v>1141.56</c:v>
                </c:pt>
                <c:pt idx="23">
                  <c:v>1141.56</c:v>
                </c:pt>
                <c:pt idx="24">
                  <c:v>1141.56</c:v>
                </c:pt>
                <c:pt idx="25">
                  <c:v>1141.56</c:v>
                </c:pt>
                <c:pt idx="26">
                  <c:v>1141.56</c:v>
                </c:pt>
                <c:pt idx="27">
                  <c:v>1141.56</c:v>
                </c:pt>
                <c:pt idx="28">
                  <c:v>1141.56</c:v>
                </c:pt>
                <c:pt idx="29">
                  <c:v>1141.56</c:v>
                </c:pt>
                <c:pt idx="30">
                  <c:v>1141.56</c:v>
                </c:pt>
                <c:pt idx="31">
                  <c:v>1141.56</c:v>
                </c:pt>
                <c:pt idx="32">
                  <c:v>2276.91</c:v>
                </c:pt>
                <c:pt idx="33">
                  <c:v>2276.91</c:v>
                </c:pt>
                <c:pt idx="34">
                  <c:v>2276.91</c:v>
                </c:pt>
                <c:pt idx="35">
                  <c:v>2276.91</c:v>
                </c:pt>
                <c:pt idx="36">
                  <c:v>2276.91</c:v>
                </c:pt>
                <c:pt idx="37">
                  <c:v>2276.91</c:v>
                </c:pt>
                <c:pt idx="38">
                  <c:v>2276.91</c:v>
                </c:pt>
                <c:pt idx="39">
                  <c:v>2276.91</c:v>
                </c:pt>
                <c:pt idx="40">
                  <c:v>2276.91</c:v>
                </c:pt>
                <c:pt idx="41">
                  <c:v>2276.91</c:v>
                </c:pt>
                <c:pt idx="42">
                  <c:v>2276.91</c:v>
                </c:pt>
                <c:pt idx="43">
                  <c:v>2276.91</c:v>
                </c:pt>
                <c:pt idx="44">
                  <c:v>2276.91</c:v>
                </c:pt>
                <c:pt idx="45">
                  <c:v>2276.91</c:v>
                </c:pt>
                <c:pt idx="46">
                  <c:v>2276.91</c:v>
                </c:pt>
                <c:pt idx="47">
                  <c:v>2276.91</c:v>
                </c:pt>
              </c:numCache>
            </c:numRef>
          </c:xVal>
          <c:yVal>
            <c:numRef>
              <c:f>Datos_Individuales!$I$5:$I$52</c:f>
              <c:numCache>
                <c:formatCode>0.000</c:formatCode>
                <c:ptCount val="48"/>
                <c:pt idx="0">
                  <c:v>0.096</c:v>
                </c:pt>
                <c:pt idx="1">
                  <c:v>0.0946</c:v>
                </c:pt>
                <c:pt idx="2">
                  <c:v>0.13</c:v>
                </c:pt>
                <c:pt idx="3">
                  <c:v>0.142</c:v>
                </c:pt>
                <c:pt idx="4">
                  <c:v>0.0959</c:v>
                </c:pt>
                <c:pt idx="5">
                  <c:v>0.101</c:v>
                </c:pt>
                <c:pt idx="6">
                  <c:v>0.186</c:v>
                </c:pt>
                <c:pt idx="7">
                  <c:v>0.091</c:v>
                </c:pt>
                <c:pt idx="8">
                  <c:v>0.0662</c:v>
                </c:pt>
                <c:pt idx="9">
                  <c:v>0.1</c:v>
                </c:pt>
                <c:pt idx="10">
                  <c:v>0.0946</c:v>
                </c:pt>
                <c:pt idx="11">
                  <c:v>0.0662</c:v>
                </c:pt>
                <c:pt idx="12">
                  <c:v>0.0959</c:v>
                </c:pt>
                <c:pt idx="13">
                  <c:v>0.125</c:v>
                </c:pt>
                <c:pt idx="14">
                  <c:v>0.113</c:v>
                </c:pt>
                <c:pt idx="15">
                  <c:v>0.13</c:v>
                </c:pt>
                <c:pt idx="16">
                  <c:v>0.379</c:v>
                </c:pt>
                <c:pt idx="17">
                  <c:v>0.1</c:v>
                </c:pt>
                <c:pt idx="18">
                  <c:v>0.0946</c:v>
                </c:pt>
                <c:pt idx="19">
                  <c:v>0.0959</c:v>
                </c:pt>
                <c:pt idx="20">
                  <c:v>0.0959</c:v>
                </c:pt>
                <c:pt idx="21">
                  <c:v>0.0946</c:v>
                </c:pt>
                <c:pt idx="22">
                  <c:v>0.265</c:v>
                </c:pt>
                <c:pt idx="23">
                  <c:v>0.087</c:v>
                </c:pt>
                <c:pt idx="24">
                  <c:v>0.0662</c:v>
                </c:pt>
                <c:pt idx="25">
                  <c:v>0.176</c:v>
                </c:pt>
                <c:pt idx="26">
                  <c:v>0.14</c:v>
                </c:pt>
                <c:pt idx="27">
                  <c:v>0.1</c:v>
                </c:pt>
                <c:pt idx="28">
                  <c:v>0.0959</c:v>
                </c:pt>
                <c:pt idx="29">
                  <c:v>0.0959</c:v>
                </c:pt>
                <c:pt idx="30">
                  <c:v>0.246</c:v>
                </c:pt>
                <c:pt idx="31">
                  <c:v>0.233</c:v>
                </c:pt>
                <c:pt idx="32">
                  <c:v>0.379</c:v>
                </c:pt>
                <c:pt idx="33">
                  <c:v>0.43</c:v>
                </c:pt>
                <c:pt idx="34">
                  <c:v>0.0946</c:v>
                </c:pt>
                <c:pt idx="35">
                  <c:v>0.177</c:v>
                </c:pt>
                <c:pt idx="36">
                  <c:v>0.0959</c:v>
                </c:pt>
                <c:pt idx="37">
                  <c:v>0.436</c:v>
                </c:pt>
                <c:pt idx="38">
                  <c:v>0.346</c:v>
                </c:pt>
                <c:pt idx="39">
                  <c:v>0.191</c:v>
                </c:pt>
                <c:pt idx="40">
                  <c:v>0.497</c:v>
                </c:pt>
                <c:pt idx="41">
                  <c:v>0.167</c:v>
                </c:pt>
                <c:pt idx="42">
                  <c:v>0.23</c:v>
                </c:pt>
                <c:pt idx="43">
                  <c:v>0.218</c:v>
                </c:pt>
                <c:pt idx="44">
                  <c:v>0.175</c:v>
                </c:pt>
                <c:pt idx="45">
                  <c:v>0.0959</c:v>
                </c:pt>
                <c:pt idx="46">
                  <c:v>0.69</c:v>
                </c:pt>
                <c:pt idx="47">
                  <c:v>0.35</c:v>
                </c:pt>
              </c:numCache>
            </c:numRef>
          </c:yVal>
          <c:smooth val="1"/>
        </c:ser>
        <c:axId val="58447751"/>
        <c:axId val="61439052"/>
      </c:scatterChart>
      <c:valAx>
        <c:axId val="584477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39052"/>
        <c:crosses val="autoZero"/>
        <c:crossBetween val="midCat"/>
      </c:valAx>
      <c:valAx>
        <c:axId val="614390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477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FRAILE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Datos_Individuales!$F$53:$F$95</c:f>
              <c:numCache>
                <c:formatCode>#,##0</c:formatCode>
                <c:ptCount val="43"/>
                <c:pt idx="0">
                  <c:v>445.296</c:v>
                </c:pt>
                <c:pt idx="1">
                  <c:v>445.296</c:v>
                </c:pt>
                <c:pt idx="2">
                  <c:v>445.296</c:v>
                </c:pt>
                <c:pt idx="3">
                  <c:v>445.296</c:v>
                </c:pt>
                <c:pt idx="4">
                  <c:v>445.296</c:v>
                </c:pt>
                <c:pt idx="5">
                  <c:v>445.296</c:v>
                </c:pt>
                <c:pt idx="6">
                  <c:v>445.296</c:v>
                </c:pt>
                <c:pt idx="7">
                  <c:v>445.296</c:v>
                </c:pt>
                <c:pt idx="8">
                  <c:v>445.296</c:v>
                </c:pt>
                <c:pt idx="9">
                  <c:v>445.296</c:v>
                </c:pt>
                <c:pt idx="10">
                  <c:v>445.296</c:v>
                </c:pt>
                <c:pt idx="11">
                  <c:v>445.296</c:v>
                </c:pt>
                <c:pt idx="12">
                  <c:v>445.296</c:v>
                </c:pt>
                <c:pt idx="13">
                  <c:v>445.296</c:v>
                </c:pt>
                <c:pt idx="14">
                  <c:v>445.296</c:v>
                </c:pt>
                <c:pt idx="15">
                  <c:v>445.296</c:v>
                </c:pt>
                <c:pt idx="16">
                  <c:v>9799.104</c:v>
                </c:pt>
                <c:pt idx="17">
                  <c:v>9799.104</c:v>
                </c:pt>
                <c:pt idx="18">
                  <c:v>9799.104</c:v>
                </c:pt>
                <c:pt idx="19">
                  <c:v>9799.104</c:v>
                </c:pt>
                <c:pt idx="20">
                  <c:v>9799.104</c:v>
                </c:pt>
                <c:pt idx="21">
                  <c:v>9799.104</c:v>
                </c:pt>
                <c:pt idx="22">
                  <c:v>9799.104</c:v>
                </c:pt>
                <c:pt idx="23">
                  <c:v>9799.104</c:v>
                </c:pt>
                <c:pt idx="24">
                  <c:v>9799.104</c:v>
                </c:pt>
                <c:pt idx="25">
                  <c:v>9799.104</c:v>
                </c:pt>
                <c:pt idx="26">
                  <c:v>9799.104</c:v>
                </c:pt>
                <c:pt idx="27">
                  <c:v>9799.104</c:v>
                </c:pt>
                <c:pt idx="28">
                  <c:v>9799.104</c:v>
                </c:pt>
                <c:pt idx="29">
                  <c:v>9799.104</c:v>
                </c:pt>
                <c:pt idx="30">
                  <c:v>9799.104</c:v>
                </c:pt>
                <c:pt idx="31">
                  <c:v>9799.104</c:v>
                </c:pt>
                <c:pt idx="32">
                  <c:v>23952</c:v>
                </c:pt>
                <c:pt idx="33">
                  <c:v>23952</c:v>
                </c:pt>
                <c:pt idx="34">
                  <c:v>23952</c:v>
                </c:pt>
                <c:pt idx="35">
                  <c:v>23952</c:v>
                </c:pt>
                <c:pt idx="36">
                  <c:v>23952</c:v>
                </c:pt>
                <c:pt idx="37">
                  <c:v>23952</c:v>
                </c:pt>
                <c:pt idx="38">
                  <c:v>23952</c:v>
                </c:pt>
                <c:pt idx="39">
                  <c:v>23952</c:v>
                </c:pt>
                <c:pt idx="40">
                  <c:v>23952</c:v>
                </c:pt>
                <c:pt idx="41">
                  <c:v>23952</c:v>
                </c:pt>
                <c:pt idx="42">
                  <c:v>23952</c:v>
                </c:pt>
              </c:numCache>
            </c:numRef>
          </c:xVal>
          <c:yVal>
            <c:numRef>
              <c:f>Datos_Individuales!$G$53:$G$95</c:f>
              <c:numCache>
                <c:formatCode>0.000</c:formatCode>
                <c:ptCount val="43"/>
                <c:pt idx="1">
                  <c:v>0.843</c:v>
                </c:pt>
                <c:pt idx="2">
                  <c:v>11.3</c:v>
                </c:pt>
                <c:pt idx="4">
                  <c:v>5.73</c:v>
                </c:pt>
                <c:pt idx="10">
                  <c:v>4.3</c:v>
                </c:pt>
                <c:pt idx="12">
                  <c:v>2.17</c:v>
                </c:pt>
                <c:pt idx="14">
                  <c:v>1.99</c:v>
                </c:pt>
                <c:pt idx="17">
                  <c:v>1.06</c:v>
                </c:pt>
                <c:pt idx="18">
                  <c:v>2.8</c:v>
                </c:pt>
                <c:pt idx="20">
                  <c:v>2.75</c:v>
                </c:pt>
                <c:pt idx="26">
                  <c:v>1.5</c:v>
                </c:pt>
                <c:pt idx="28">
                  <c:v>0.9</c:v>
                </c:pt>
                <c:pt idx="30">
                  <c:v>4.11</c:v>
                </c:pt>
                <c:pt idx="33">
                  <c:v>2.21</c:v>
                </c:pt>
                <c:pt idx="34">
                  <c:v>2.39</c:v>
                </c:pt>
                <c:pt idx="40">
                  <c:v>2.74</c:v>
                </c:pt>
                <c:pt idx="42">
                  <c:v>4.3</c:v>
                </c:pt>
              </c:numCache>
            </c:numRef>
          </c:yVal>
          <c:smooth val="1"/>
        </c:ser>
        <c:axId val="25507005"/>
        <c:axId val="22848938"/>
      </c:scatterChart>
      <c:valAx>
        <c:axId val="255070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848938"/>
        <c:crosses val="autoZero"/>
        <c:crossBetween val="midCat"/>
      </c:valAx>
      <c:valAx>
        <c:axId val="228489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070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FRAILE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Datos_Individuales!$H$53:$H$95</c:f>
              <c:numCache>
                <c:formatCode>#,##0</c:formatCode>
                <c:ptCount val="43"/>
                <c:pt idx="0">
                  <c:v>55.662</c:v>
                </c:pt>
                <c:pt idx="1">
                  <c:v>55.662</c:v>
                </c:pt>
                <c:pt idx="2">
                  <c:v>55.662</c:v>
                </c:pt>
                <c:pt idx="3">
                  <c:v>55.662</c:v>
                </c:pt>
                <c:pt idx="4">
                  <c:v>55.662</c:v>
                </c:pt>
                <c:pt idx="5">
                  <c:v>55.662</c:v>
                </c:pt>
                <c:pt idx="6">
                  <c:v>55.662</c:v>
                </c:pt>
                <c:pt idx="7">
                  <c:v>55.662</c:v>
                </c:pt>
                <c:pt idx="8">
                  <c:v>55.662</c:v>
                </c:pt>
                <c:pt idx="9">
                  <c:v>55.662</c:v>
                </c:pt>
                <c:pt idx="10">
                  <c:v>55.662</c:v>
                </c:pt>
                <c:pt idx="11">
                  <c:v>55.662</c:v>
                </c:pt>
                <c:pt idx="12">
                  <c:v>55.662</c:v>
                </c:pt>
                <c:pt idx="13">
                  <c:v>55.662</c:v>
                </c:pt>
                <c:pt idx="14">
                  <c:v>55.662</c:v>
                </c:pt>
                <c:pt idx="15">
                  <c:v>55.662</c:v>
                </c:pt>
                <c:pt idx="16">
                  <c:v>1224.888</c:v>
                </c:pt>
                <c:pt idx="17">
                  <c:v>1224.888</c:v>
                </c:pt>
                <c:pt idx="18">
                  <c:v>1224.888</c:v>
                </c:pt>
                <c:pt idx="19">
                  <c:v>1224.888</c:v>
                </c:pt>
                <c:pt idx="20">
                  <c:v>1224.888</c:v>
                </c:pt>
                <c:pt idx="21">
                  <c:v>1224.888</c:v>
                </c:pt>
                <c:pt idx="22">
                  <c:v>1224.888</c:v>
                </c:pt>
                <c:pt idx="23">
                  <c:v>1224.888</c:v>
                </c:pt>
                <c:pt idx="24">
                  <c:v>1224.888</c:v>
                </c:pt>
                <c:pt idx="25">
                  <c:v>1224.888</c:v>
                </c:pt>
                <c:pt idx="26">
                  <c:v>1224.888</c:v>
                </c:pt>
                <c:pt idx="27">
                  <c:v>1224.888</c:v>
                </c:pt>
                <c:pt idx="28">
                  <c:v>1224.888</c:v>
                </c:pt>
                <c:pt idx="29">
                  <c:v>1224.888</c:v>
                </c:pt>
                <c:pt idx="30">
                  <c:v>1224.888</c:v>
                </c:pt>
                <c:pt idx="31">
                  <c:v>1224.888</c:v>
                </c:pt>
                <c:pt idx="32">
                  <c:v>2994</c:v>
                </c:pt>
                <c:pt idx="33">
                  <c:v>2994</c:v>
                </c:pt>
                <c:pt idx="34">
                  <c:v>2994</c:v>
                </c:pt>
                <c:pt idx="35">
                  <c:v>2994</c:v>
                </c:pt>
                <c:pt idx="36">
                  <c:v>2994</c:v>
                </c:pt>
                <c:pt idx="37">
                  <c:v>2994</c:v>
                </c:pt>
                <c:pt idx="38">
                  <c:v>2994</c:v>
                </c:pt>
                <c:pt idx="39">
                  <c:v>2994</c:v>
                </c:pt>
                <c:pt idx="40">
                  <c:v>2994</c:v>
                </c:pt>
                <c:pt idx="41">
                  <c:v>2994</c:v>
                </c:pt>
                <c:pt idx="42">
                  <c:v>2994</c:v>
                </c:pt>
              </c:numCache>
            </c:numRef>
          </c:xVal>
          <c:yVal>
            <c:numRef>
              <c:f>Datos_Individuales!$I$53:$I$95</c:f>
              <c:numCache>
                <c:formatCode>0.000</c:formatCode>
                <c:ptCount val="43"/>
                <c:pt idx="0">
                  <c:v>0.113</c:v>
                </c:pt>
                <c:pt idx="1">
                  <c:v>0.265</c:v>
                </c:pt>
                <c:pt idx="2">
                  <c:v>1.36</c:v>
                </c:pt>
                <c:pt idx="3">
                  <c:v>0.116</c:v>
                </c:pt>
                <c:pt idx="4">
                  <c:v>0.0959</c:v>
                </c:pt>
                <c:pt idx="5">
                  <c:v>0.769</c:v>
                </c:pt>
                <c:pt idx="6">
                  <c:v>0.0946</c:v>
                </c:pt>
                <c:pt idx="7">
                  <c:v>0.0662</c:v>
                </c:pt>
                <c:pt idx="8">
                  <c:v>0.0662</c:v>
                </c:pt>
                <c:pt idx="9">
                  <c:v>0.157</c:v>
                </c:pt>
                <c:pt idx="10">
                  <c:v>0.44</c:v>
                </c:pt>
                <c:pt idx="11">
                  <c:v>0.0662</c:v>
                </c:pt>
                <c:pt idx="12">
                  <c:v>0.162</c:v>
                </c:pt>
                <c:pt idx="13">
                  <c:v>0.707</c:v>
                </c:pt>
                <c:pt idx="14">
                  <c:v>0.0509</c:v>
                </c:pt>
                <c:pt idx="15">
                  <c:v>0.0509</c:v>
                </c:pt>
                <c:pt idx="16">
                  <c:v>0.982</c:v>
                </c:pt>
                <c:pt idx="17">
                  <c:v>0.108</c:v>
                </c:pt>
                <c:pt idx="18">
                  <c:v>0.0946</c:v>
                </c:pt>
                <c:pt idx="19">
                  <c:v>0.173</c:v>
                </c:pt>
                <c:pt idx="20">
                  <c:v>0.0959</c:v>
                </c:pt>
                <c:pt idx="21">
                  <c:v>0.178</c:v>
                </c:pt>
                <c:pt idx="22">
                  <c:v>0.23</c:v>
                </c:pt>
                <c:pt idx="23">
                  <c:v>0.246</c:v>
                </c:pt>
                <c:pt idx="24">
                  <c:v>0.153</c:v>
                </c:pt>
                <c:pt idx="25">
                  <c:v>0.0946</c:v>
                </c:pt>
                <c:pt idx="26">
                  <c:v>0.17</c:v>
                </c:pt>
                <c:pt idx="27">
                  <c:v>0.151</c:v>
                </c:pt>
                <c:pt idx="28">
                  <c:v>0.173</c:v>
                </c:pt>
                <c:pt idx="29">
                  <c:v>0.0959</c:v>
                </c:pt>
                <c:pt idx="30">
                  <c:v>0.441</c:v>
                </c:pt>
                <c:pt idx="31">
                  <c:v>0.175</c:v>
                </c:pt>
                <c:pt idx="32">
                  <c:v>1.11</c:v>
                </c:pt>
                <c:pt idx="33">
                  <c:v>0.321</c:v>
                </c:pt>
                <c:pt idx="34">
                  <c:v>0.0959</c:v>
                </c:pt>
                <c:pt idx="35">
                  <c:v>0.357</c:v>
                </c:pt>
                <c:pt idx="36">
                  <c:v>0.377</c:v>
                </c:pt>
                <c:pt idx="37">
                  <c:v>0.405</c:v>
                </c:pt>
                <c:pt idx="38">
                  <c:v>0.452</c:v>
                </c:pt>
                <c:pt idx="39">
                  <c:v>0.506</c:v>
                </c:pt>
                <c:pt idx="40">
                  <c:v>0.373</c:v>
                </c:pt>
                <c:pt idx="41">
                  <c:v>0.0959</c:v>
                </c:pt>
                <c:pt idx="42">
                  <c:v>0.539</c:v>
                </c:pt>
              </c:numCache>
            </c:numRef>
          </c:yVal>
          <c:smooth val="1"/>
        </c:ser>
        <c:axId val="84878029"/>
        <c:axId val="14388809"/>
      </c:scatterChart>
      <c:valAx>
        <c:axId val="848780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88809"/>
        <c:crosses val="autoZero"/>
        <c:crossBetween val="midCat"/>
      </c:valAx>
      <c:valAx>
        <c:axId val="143888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7802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GUACHAL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Datos_Individuales!$F$96:$F$111</c:f>
              <c:numCache>
                <c:formatCode>#,##0</c:formatCode>
                <c:ptCount val="16"/>
                <c:pt idx="0">
                  <c:v>3142.752</c:v>
                </c:pt>
                <c:pt idx="1">
                  <c:v>3142.752</c:v>
                </c:pt>
                <c:pt idx="2">
                  <c:v>3142.752</c:v>
                </c:pt>
                <c:pt idx="3">
                  <c:v>3142.752</c:v>
                </c:pt>
                <c:pt idx="4">
                  <c:v>3142.752</c:v>
                </c:pt>
                <c:pt idx="5">
                  <c:v>3142.752</c:v>
                </c:pt>
                <c:pt idx="6">
                  <c:v>3142.752</c:v>
                </c:pt>
                <c:pt idx="7">
                  <c:v>3142.752</c:v>
                </c:pt>
                <c:pt idx="8">
                  <c:v>3142.752</c:v>
                </c:pt>
                <c:pt idx="9">
                  <c:v>3142.752</c:v>
                </c:pt>
                <c:pt idx="10">
                  <c:v>3142.752</c:v>
                </c:pt>
                <c:pt idx="11">
                  <c:v>3142.752</c:v>
                </c:pt>
                <c:pt idx="12">
                  <c:v>3142.752</c:v>
                </c:pt>
                <c:pt idx="13">
                  <c:v>3142.752</c:v>
                </c:pt>
                <c:pt idx="14">
                  <c:v>3142.752</c:v>
                </c:pt>
                <c:pt idx="15">
                  <c:v>3142.752</c:v>
                </c:pt>
              </c:numCache>
            </c:numRef>
          </c:xVal>
          <c:yVal>
            <c:numRef>
              <c:f>Datos_Individuales!$G$96:$G$111</c:f>
              <c:numCache>
                <c:formatCode>0.000</c:formatCode>
                <c:ptCount val="16"/>
                <c:pt idx="1">
                  <c:v>2.68</c:v>
                </c:pt>
                <c:pt idx="2">
                  <c:v>3.16</c:v>
                </c:pt>
                <c:pt idx="4">
                  <c:v>2.44</c:v>
                </c:pt>
                <c:pt idx="10">
                  <c:v>3.4</c:v>
                </c:pt>
                <c:pt idx="12">
                  <c:v>2.36</c:v>
                </c:pt>
              </c:numCache>
            </c:numRef>
          </c:yVal>
          <c:smooth val="1"/>
        </c:ser>
        <c:axId val="94579222"/>
        <c:axId val="46475794"/>
      </c:scatterChart>
      <c:valAx>
        <c:axId val="9457922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75794"/>
        <c:crosses val="autoZero"/>
        <c:crossBetween val="midCat"/>
      </c:valAx>
      <c:valAx>
        <c:axId val="464757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922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GUACHAL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Datos_Individuales!$H$96:$H$111</c:f>
              <c:numCache>
                <c:formatCode>#,##0</c:formatCode>
                <c:ptCount val="16"/>
                <c:pt idx="0">
                  <c:v>392.844</c:v>
                </c:pt>
                <c:pt idx="1">
                  <c:v>392.844</c:v>
                </c:pt>
                <c:pt idx="2">
                  <c:v>392.844</c:v>
                </c:pt>
                <c:pt idx="3">
                  <c:v>392.844</c:v>
                </c:pt>
                <c:pt idx="4">
                  <c:v>392.844</c:v>
                </c:pt>
                <c:pt idx="5">
                  <c:v>392.844</c:v>
                </c:pt>
                <c:pt idx="6">
                  <c:v>392.844</c:v>
                </c:pt>
                <c:pt idx="7">
                  <c:v>392.844</c:v>
                </c:pt>
                <c:pt idx="8">
                  <c:v>392.844</c:v>
                </c:pt>
                <c:pt idx="9">
                  <c:v>392.844</c:v>
                </c:pt>
                <c:pt idx="10">
                  <c:v>392.844</c:v>
                </c:pt>
                <c:pt idx="11">
                  <c:v>392.844</c:v>
                </c:pt>
                <c:pt idx="12">
                  <c:v>392.844</c:v>
                </c:pt>
                <c:pt idx="13">
                  <c:v>392.844</c:v>
                </c:pt>
                <c:pt idx="14">
                  <c:v>392.844</c:v>
                </c:pt>
                <c:pt idx="15">
                  <c:v>392.844</c:v>
                </c:pt>
              </c:numCache>
            </c:numRef>
          </c:xVal>
          <c:yVal>
            <c:numRef>
              <c:f>Datos_Individuales!$I$96:$I$111</c:f>
              <c:numCache>
                <c:formatCode>0.000</c:formatCode>
                <c:ptCount val="16"/>
                <c:pt idx="0">
                  <c:v>0.549</c:v>
                </c:pt>
                <c:pt idx="1">
                  <c:v>0.409</c:v>
                </c:pt>
                <c:pt idx="2">
                  <c:v>0.12</c:v>
                </c:pt>
                <c:pt idx="3">
                  <c:v>0.439</c:v>
                </c:pt>
                <c:pt idx="4">
                  <c:v>0.0959</c:v>
                </c:pt>
                <c:pt idx="5">
                  <c:v>0.754</c:v>
                </c:pt>
                <c:pt idx="6">
                  <c:v>0.407</c:v>
                </c:pt>
                <c:pt idx="7">
                  <c:v>0.238</c:v>
                </c:pt>
                <c:pt idx="8">
                  <c:v>0.462</c:v>
                </c:pt>
                <c:pt idx="9">
                  <c:v>0.431</c:v>
                </c:pt>
                <c:pt idx="10">
                  <c:v>0.51</c:v>
                </c:pt>
                <c:pt idx="11">
                  <c:v>0.522</c:v>
                </c:pt>
                <c:pt idx="12">
                  <c:v>0.181</c:v>
                </c:pt>
                <c:pt idx="13">
                  <c:v>0.0959</c:v>
                </c:pt>
                <c:pt idx="14">
                  <c:v>0.487</c:v>
                </c:pt>
                <c:pt idx="15">
                  <c:v>0.64</c:v>
                </c:pt>
              </c:numCache>
            </c:numRef>
          </c:yVal>
          <c:smooth val="1"/>
        </c:ser>
        <c:axId val="27845290"/>
        <c:axId val="80399326"/>
      </c:scatterChart>
      <c:valAx>
        <c:axId val="2784529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99326"/>
        <c:crosses val="autoZero"/>
        <c:crossBetween val="midCat"/>
      </c:valAx>
      <c:valAx>
        <c:axId val="803993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4529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PALO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Datos_Individuales!$F$112:$F$181</c:f>
              <c:numCache>
                <c:formatCode>#,##0</c:formatCode>
                <c:ptCount val="7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0.96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63.072</c:v>
                </c:pt>
                <c:pt idx="11">
                  <c:v>63.072</c:v>
                </c:pt>
                <c:pt idx="12">
                  <c:v>63.072</c:v>
                </c:pt>
                <c:pt idx="13">
                  <c:v>63.072</c:v>
                </c:pt>
                <c:pt idx="14">
                  <c:v>63.072</c:v>
                </c:pt>
                <c:pt idx="15">
                  <c:v>63.072</c:v>
                </c:pt>
                <c:pt idx="16">
                  <c:v>63.072</c:v>
                </c:pt>
                <c:pt idx="17">
                  <c:v>63.072</c:v>
                </c:pt>
                <c:pt idx="18">
                  <c:v>63.072</c:v>
                </c:pt>
                <c:pt idx="19">
                  <c:v>63.072</c:v>
                </c:pt>
                <c:pt idx="20">
                  <c:v>989.664</c:v>
                </c:pt>
                <c:pt idx="21">
                  <c:v>989.664</c:v>
                </c:pt>
                <c:pt idx="22">
                  <c:v>989.664</c:v>
                </c:pt>
                <c:pt idx="23">
                  <c:v>989.664</c:v>
                </c:pt>
                <c:pt idx="24">
                  <c:v>989.664</c:v>
                </c:pt>
                <c:pt idx="25">
                  <c:v>989.664</c:v>
                </c:pt>
                <c:pt idx="26">
                  <c:v>989.664</c:v>
                </c:pt>
                <c:pt idx="27">
                  <c:v>989.664</c:v>
                </c:pt>
                <c:pt idx="28">
                  <c:v>989.664</c:v>
                </c:pt>
                <c:pt idx="29">
                  <c:v>989.664</c:v>
                </c:pt>
                <c:pt idx="30">
                  <c:v>1005.072</c:v>
                </c:pt>
                <c:pt idx="31">
                  <c:v>1005.072</c:v>
                </c:pt>
                <c:pt idx="32">
                  <c:v>1005.072</c:v>
                </c:pt>
                <c:pt idx="33">
                  <c:v>1005.072</c:v>
                </c:pt>
                <c:pt idx="34">
                  <c:v>1005.072</c:v>
                </c:pt>
                <c:pt idx="35">
                  <c:v>1005.072</c:v>
                </c:pt>
                <c:pt idx="36">
                  <c:v>1005.072</c:v>
                </c:pt>
                <c:pt idx="37">
                  <c:v>1005.072</c:v>
                </c:pt>
                <c:pt idx="38">
                  <c:v>1005.072</c:v>
                </c:pt>
                <c:pt idx="39">
                  <c:v>1005.072</c:v>
                </c:pt>
                <c:pt idx="40">
                  <c:v>1225.2</c:v>
                </c:pt>
                <c:pt idx="41">
                  <c:v>1225.2</c:v>
                </c:pt>
                <c:pt idx="42">
                  <c:v>1225.2</c:v>
                </c:pt>
                <c:pt idx="43">
                  <c:v>1225.2</c:v>
                </c:pt>
                <c:pt idx="44">
                  <c:v>1225.2</c:v>
                </c:pt>
                <c:pt idx="45">
                  <c:v>1225.2</c:v>
                </c:pt>
                <c:pt idx="46">
                  <c:v>1225.2</c:v>
                </c:pt>
                <c:pt idx="47">
                  <c:v>1225.2</c:v>
                </c:pt>
                <c:pt idx="48">
                  <c:v>1225.2</c:v>
                </c:pt>
                <c:pt idx="49">
                  <c:v>1225.2</c:v>
                </c:pt>
                <c:pt idx="50">
                  <c:v>1579.104</c:v>
                </c:pt>
                <c:pt idx="51">
                  <c:v>1579.104</c:v>
                </c:pt>
                <c:pt idx="52">
                  <c:v>1579.104</c:v>
                </c:pt>
                <c:pt idx="53">
                  <c:v>1579.104</c:v>
                </c:pt>
                <c:pt idx="54">
                  <c:v>1579.104</c:v>
                </c:pt>
                <c:pt idx="55">
                  <c:v>1579.104</c:v>
                </c:pt>
                <c:pt idx="56">
                  <c:v>1579.104</c:v>
                </c:pt>
                <c:pt idx="57">
                  <c:v>1579.104</c:v>
                </c:pt>
                <c:pt idx="58">
                  <c:v>1579.104</c:v>
                </c:pt>
                <c:pt idx="59">
                  <c:v>1579.104</c:v>
                </c:pt>
                <c:pt idx="60">
                  <c:v>2453.424</c:v>
                </c:pt>
                <c:pt idx="61">
                  <c:v>2453.424</c:v>
                </c:pt>
                <c:pt idx="62">
                  <c:v>2453.424</c:v>
                </c:pt>
                <c:pt idx="63">
                  <c:v>2453.424</c:v>
                </c:pt>
                <c:pt idx="64">
                  <c:v>2453.424</c:v>
                </c:pt>
                <c:pt idx="65">
                  <c:v>2453.424</c:v>
                </c:pt>
                <c:pt idx="66">
                  <c:v>2453.424</c:v>
                </c:pt>
                <c:pt idx="67">
                  <c:v>2453.424</c:v>
                </c:pt>
                <c:pt idx="68">
                  <c:v>2453.424</c:v>
                </c:pt>
                <c:pt idx="69">
                  <c:v>2453.424</c:v>
                </c:pt>
              </c:numCache>
            </c:numRef>
          </c:xVal>
          <c:yVal>
            <c:numRef>
              <c:f>Datos_Individuales!$G$112:$G$181</c:f>
              <c:numCache>
                <c:formatCode>0.000</c:formatCode>
                <c:ptCount val="70"/>
                <c:pt idx="0">
                  <c:v>0.72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0.16</c:v>
                </c:pt>
                <c:pt idx="7">
                  <c:v>0.5</c:v>
                </c:pt>
                <c:pt idx="8">
                  <c:v>1.12</c:v>
                </c:pt>
                <c:pt idx="9">
                  <c:v>0.75</c:v>
                </c:pt>
                <c:pt idx="10">
                  <c:v>0.8</c:v>
                </c:pt>
                <c:pt idx="12">
                  <c:v>0.52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0.16</c:v>
                </c:pt>
                <c:pt idx="17">
                  <c:v>0.5</c:v>
                </c:pt>
                <c:pt idx="18">
                  <c:v>1.12</c:v>
                </c:pt>
                <c:pt idx="19">
                  <c:v>0.76</c:v>
                </c:pt>
                <c:pt idx="20">
                  <c:v>0.9</c:v>
                </c:pt>
                <c:pt idx="22">
                  <c:v>0.54</c:v>
                </c:pt>
                <c:pt idx="23">
                  <c:v>0.5</c:v>
                </c:pt>
                <c:pt idx="24">
                  <c:v>0.56</c:v>
                </c:pt>
                <c:pt idx="25">
                  <c:v>0.5</c:v>
                </c:pt>
                <c:pt idx="26">
                  <c:v>0.2</c:v>
                </c:pt>
                <c:pt idx="27">
                  <c:v>0.5</c:v>
                </c:pt>
                <c:pt idx="28">
                  <c:v>0.6</c:v>
                </c:pt>
                <c:pt idx="29">
                  <c:v>0.93</c:v>
                </c:pt>
                <c:pt idx="30">
                  <c:v>0.94</c:v>
                </c:pt>
                <c:pt idx="32">
                  <c:v>1.3</c:v>
                </c:pt>
                <c:pt idx="33">
                  <c:v>0.5</c:v>
                </c:pt>
                <c:pt idx="34">
                  <c:v>0.6</c:v>
                </c:pt>
                <c:pt idx="35">
                  <c:v>1.7</c:v>
                </c:pt>
                <c:pt idx="36">
                  <c:v>0.45</c:v>
                </c:pt>
                <c:pt idx="37">
                  <c:v>0.5</c:v>
                </c:pt>
                <c:pt idx="38">
                  <c:v>0.72</c:v>
                </c:pt>
                <c:pt idx="39">
                  <c:v>0.96</c:v>
                </c:pt>
                <c:pt idx="40">
                  <c:v>1.1</c:v>
                </c:pt>
                <c:pt idx="42">
                  <c:v>1</c:v>
                </c:pt>
                <c:pt idx="43">
                  <c:v>0.78</c:v>
                </c:pt>
                <c:pt idx="44">
                  <c:v>0.7</c:v>
                </c:pt>
                <c:pt idx="45">
                  <c:v>2.02</c:v>
                </c:pt>
                <c:pt idx="46">
                  <c:v>0.5</c:v>
                </c:pt>
                <c:pt idx="47">
                  <c:v>0.5</c:v>
                </c:pt>
                <c:pt idx="48">
                  <c:v>1.15</c:v>
                </c:pt>
                <c:pt idx="49">
                  <c:v>1.1</c:v>
                </c:pt>
                <c:pt idx="50">
                  <c:v>1.12</c:v>
                </c:pt>
                <c:pt idx="52">
                  <c:v>0.6</c:v>
                </c:pt>
                <c:pt idx="53">
                  <c:v>0.63</c:v>
                </c:pt>
                <c:pt idx="54">
                  <c:v>0.76</c:v>
                </c:pt>
                <c:pt idx="55">
                  <c:v>1.37</c:v>
                </c:pt>
                <c:pt idx="56">
                  <c:v>0.41</c:v>
                </c:pt>
                <c:pt idx="57">
                  <c:v>0.5</c:v>
                </c:pt>
                <c:pt idx="58">
                  <c:v>1.2</c:v>
                </c:pt>
                <c:pt idx="59">
                  <c:v>1.57</c:v>
                </c:pt>
                <c:pt idx="60">
                  <c:v>1.2</c:v>
                </c:pt>
                <c:pt idx="62">
                  <c:v>1</c:v>
                </c:pt>
                <c:pt idx="63">
                  <c:v>0.55</c:v>
                </c:pt>
                <c:pt idx="64">
                  <c:v>0.9</c:v>
                </c:pt>
                <c:pt idx="65">
                  <c:v>0.67</c:v>
                </c:pt>
                <c:pt idx="66">
                  <c:v>0.45</c:v>
                </c:pt>
                <c:pt idx="67">
                  <c:v>0.5</c:v>
                </c:pt>
                <c:pt idx="68">
                  <c:v>1.15</c:v>
                </c:pt>
                <c:pt idx="69">
                  <c:v>1.66</c:v>
                </c:pt>
              </c:numCache>
            </c:numRef>
          </c:yVal>
          <c:smooth val="1"/>
        </c:ser>
        <c:axId val="66948132"/>
        <c:axId val="82443437"/>
      </c:scatterChart>
      <c:valAx>
        <c:axId val="6694813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43437"/>
        <c:crosses val="autoZero"/>
        <c:crossBetween val="midCat"/>
      </c:valAx>
      <c:valAx>
        <c:axId val="824434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481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PALO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Datos_Individuales!$H$112:$H$181</c:f>
              <c:numCache>
                <c:formatCode>#,##0</c:formatCode>
                <c:ptCount val="70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7.884</c:v>
                </c:pt>
                <c:pt idx="11">
                  <c:v>7.884</c:v>
                </c:pt>
                <c:pt idx="12">
                  <c:v>7.884</c:v>
                </c:pt>
                <c:pt idx="13">
                  <c:v>7.884</c:v>
                </c:pt>
                <c:pt idx="14">
                  <c:v>7.884</c:v>
                </c:pt>
                <c:pt idx="15">
                  <c:v>7.884</c:v>
                </c:pt>
                <c:pt idx="16">
                  <c:v>7.884</c:v>
                </c:pt>
                <c:pt idx="17">
                  <c:v>7.884</c:v>
                </c:pt>
                <c:pt idx="18">
                  <c:v>7.884</c:v>
                </c:pt>
                <c:pt idx="19">
                  <c:v>7.884</c:v>
                </c:pt>
                <c:pt idx="20">
                  <c:v>123.708</c:v>
                </c:pt>
                <c:pt idx="21">
                  <c:v>123.708</c:v>
                </c:pt>
                <c:pt idx="22">
                  <c:v>123.708</c:v>
                </c:pt>
                <c:pt idx="23">
                  <c:v>123.708</c:v>
                </c:pt>
                <c:pt idx="24">
                  <c:v>123.708</c:v>
                </c:pt>
                <c:pt idx="25">
                  <c:v>123.708</c:v>
                </c:pt>
                <c:pt idx="26">
                  <c:v>123.708</c:v>
                </c:pt>
                <c:pt idx="27">
                  <c:v>123.708</c:v>
                </c:pt>
                <c:pt idx="28">
                  <c:v>123.708</c:v>
                </c:pt>
                <c:pt idx="29">
                  <c:v>123.708</c:v>
                </c:pt>
                <c:pt idx="30">
                  <c:v>125.634</c:v>
                </c:pt>
                <c:pt idx="31">
                  <c:v>125.634</c:v>
                </c:pt>
                <c:pt idx="32">
                  <c:v>125.634</c:v>
                </c:pt>
                <c:pt idx="33">
                  <c:v>125.634</c:v>
                </c:pt>
                <c:pt idx="34">
                  <c:v>125.634</c:v>
                </c:pt>
                <c:pt idx="35">
                  <c:v>125.634</c:v>
                </c:pt>
                <c:pt idx="36">
                  <c:v>125.634</c:v>
                </c:pt>
                <c:pt idx="37">
                  <c:v>125.634</c:v>
                </c:pt>
                <c:pt idx="38">
                  <c:v>125.634</c:v>
                </c:pt>
                <c:pt idx="39">
                  <c:v>125.634</c:v>
                </c:pt>
                <c:pt idx="40">
                  <c:v>153.15</c:v>
                </c:pt>
                <c:pt idx="41">
                  <c:v>153.15</c:v>
                </c:pt>
                <c:pt idx="42">
                  <c:v>153.15</c:v>
                </c:pt>
                <c:pt idx="43">
                  <c:v>153.15</c:v>
                </c:pt>
                <c:pt idx="44">
                  <c:v>153.15</c:v>
                </c:pt>
                <c:pt idx="45">
                  <c:v>153.15</c:v>
                </c:pt>
                <c:pt idx="46">
                  <c:v>153.15</c:v>
                </c:pt>
                <c:pt idx="47">
                  <c:v>153.15</c:v>
                </c:pt>
                <c:pt idx="48">
                  <c:v>153.15</c:v>
                </c:pt>
                <c:pt idx="49">
                  <c:v>153.15</c:v>
                </c:pt>
                <c:pt idx="50">
                  <c:v>197.388</c:v>
                </c:pt>
                <c:pt idx="51">
                  <c:v>197.388</c:v>
                </c:pt>
                <c:pt idx="52">
                  <c:v>197.388</c:v>
                </c:pt>
                <c:pt idx="53">
                  <c:v>197.388</c:v>
                </c:pt>
                <c:pt idx="54">
                  <c:v>197.388</c:v>
                </c:pt>
                <c:pt idx="55">
                  <c:v>197.388</c:v>
                </c:pt>
                <c:pt idx="56">
                  <c:v>197.388</c:v>
                </c:pt>
                <c:pt idx="57">
                  <c:v>197.388</c:v>
                </c:pt>
                <c:pt idx="58">
                  <c:v>197.388</c:v>
                </c:pt>
                <c:pt idx="59">
                  <c:v>197.388</c:v>
                </c:pt>
                <c:pt idx="60">
                  <c:v>306.678</c:v>
                </c:pt>
                <c:pt idx="61">
                  <c:v>306.678</c:v>
                </c:pt>
                <c:pt idx="62">
                  <c:v>306.678</c:v>
                </c:pt>
                <c:pt idx="63">
                  <c:v>306.678</c:v>
                </c:pt>
                <c:pt idx="64">
                  <c:v>306.678</c:v>
                </c:pt>
                <c:pt idx="65">
                  <c:v>306.678</c:v>
                </c:pt>
                <c:pt idx="66">
                  <c:v>306.678</c:v>
                </c:pt>
                <c:pt idx="67">
                  <c:v>306.678</c:v>
                </c:pt>
                <c:pt idx="68">
                  <c:v>306.678</c:v>
                </c:pt>
                <c:pt idx="69">
                  <c:v>306.678</c:v>
                </c:pt>
              </c:numCache>
            </c:numRef>
          </c:xVal>
          <c:yVal>
            <c:numRef>
              <c:f>Datos_Individuales!$I$112:$I$181</c:f>
              <c:numCache>
                <c:formatCode>0.000</c:formatCode>
                <c:ptCount val="70"/>
                <c:pt idx="0">
                  <c:v>0.45</c:v>
                </c:pt>
                <c:pt idx="1">
                  <c:v>0.18</c:v>
                </c:pt>
                <c:pt idx="2">
                  <c:v>0.1</c:v>
                </c:pt>
                <c:pt idx="3">
                  <c:v>0.1</c:v>
                </c:pt>
                <c:pt idx="4">
                  <c:v>1</c:v>
                </c:pt>
                <c:pt idx="5">
                  <c:v>0.25</c:v>
                </c:pt>
                <c:pt idx="6">
                  <c:v>0.26</c:v>
                </c:pt>
                <c:pt idx="7">
                  <c:v>0.23</c:v>
                </c:pt>
                <c:pt idx="8">
                  <c:v>0.19</c:v>
                </c:pt>
                <c:pt idx="9">
                  <c:v>0.1</c:v>
                </c:pt>
                <c:pt idx="10">
                  <c:v>2.33</c:v>
                </c:pt>
                <c:pt idx="11">
                  <c:v>0.58</c:v>
                </c:pt>
                <c:pt idx="12">
                  <c:v>0.1</c:v>
                </c:pt>
                <c:pt idx="13">
                  <c:v>0.1</c:v>
                </c:pt>
                <c:pt idx="14">
                  <c:v>2.58</c:v>
                </c:pt>
                <c:pt idx="15">
                  <c:v>0.13</c:v>
                </c:pt>
                <c:pt idx="16">
                  <c:v>0.14</c:v>
                </c:pt>
                <c:pt idx="17">
                  <c:v>0.8</c:v>
                </c:pt>
                <c:pt idx="18">
                  <c:v>0.25</c:v>
                </c:pt>
                <c:pt idx="19">
                  <c:v>0.1</c:v>
                </c:pt>
                <c:pt idx="20">
                  <c:v>2.78</c:v>
                </c:pt>
                <c:pt idx="21">
                  <c:v>0.68</c:v>
                </c:pt>
                <c:pt idx="22">
                  <c:v>0.1</c:v>
                </c:pt>
                <c:pt idx="23">
                  <c:v>0.1</c:v>
                </c:pt>
                <c:pt idx="24">
                  <c:v>0.85</c:v>
                </c:pt>
                <c:pt idx="25">
                  <c:v>0.15</c:v>
                </c:pt>
                <c:pt idx="26">
                  <c:v>0.21</c:v>
                </c:pt>
                <c:pt idx="27">
                  <c:v>0.57</c:v>
                </c:pt>
                <c:pt idx="28">
                  <c:v>0.1</c:v>
                </c:pt>
                <c:pt idx="29">
                  <c:v>0.1</c:v>
                </c:pt>
                <c:pt idx="30">
                  <c:v>3.63</c:v>
                </c:pt>
                <c:pt idx="31">
                  <c:v>0.51</c:v>
                </c:pt>
                <c:pt idx="32">
                  <c:v>0.11</c:v>
                </c:pt>
                <c:pt idx="33">
                  <c:v>1.26</c:v>
                </c:pt>
                <c:pt idx="34">
                  <c:v>1.27</c:v>
                </c:pt>
                <c:pt idx="35">
                  <c:v>0.45</c:v>
                </c:pt>
                <c:pt idx="36">
                  <c:v>0.75</c:v>
                </c:pt>
                <c:pt idx="37">
                  <c:v>0.99</c:v>
                </c:pt>
                <c:pt idx="38">
                  <c:v>0.14</c:v>
                </c:pt>
                <c:pt idx="39">
                  <c:v>0.1</c:v>
                </c:pt>
                <c:pt idx="40">
                  <c:v>1.92</c:v>
                </c:pt>
                <c:pt idx="41">
                  <c:v>0.25</c:v>
                </c:pt>
                <c:pt idx="42">
                  <c:v>0.16</c:v>
                </c:pt>
                <c:pt idx="43">
                  <c:v>0.36</c:v>
                </c:pt>
                <c:pt idx="44">
                  <c:v>1.64</c:v>
                </c:pt>
                <c:pt idx="45">
                  <c:v>0.46</c:v>
                </c:pt>
                <c:pt idx="46">
                  <c:v>1.95</c:v>
                </c:pt>
                <c:pt idx="47">
                  <c:v>0.95</c:v>
                </c:pt>
                <c:pt idx="48">
                  <c:v>0.19</c:v>
                </c:pt>
                <c:pt idx="49">
                  <c:v>0.1</c:v>
                </c:pt>
                <c:pt idx="50">
                  <c:v>0.21</c:v>
                </c:pt>
                <c:pt idx="51">
                  <c:v>0.36</c:v>
                </c:pt>
                <c:pt idx="52">
                  <c:v>0.13</c:v>
                </c:pt>
                <c:pt idx="53">
                  <c:v>0.23</c:v>
                </c:pt>
                <c:pt idx="54">
                  <c:v>0.39</c:v>
                </c:pt>
                <c:pt idx="55">
                  <c:v>0.34</c:v>
                </c:pt>
                <c:pt idx="56">
                  <c:v>1.76</c:v>
                </c:pt>
                <c:pt idx="57">
                  <c:v>1.88</c:v>
                </c:pt>
                <c:pt idx="58">
                  <c:v>0.21</c:v>
                </c:pt>
                <c:pt idx="59">
                  <c:v>0.1</c:v>
                </c:pt>
                <c:pt idx="60">
                  <c:v>1.97</c:v>
                </c:pt>
                <c:pt idx="61">
                  <c:v>0.45</c:v>
                </c:pt>
                <c:pt idx="62">
                  <c:v>0.12</c:v>
                </c:pt>
                <c:pt idx="63">
                  <c:v>0.84</c:v>
                </c:pt>
                <c:pt idx="64">
                  <c:v>0.51</c:v>
                </c:pt>
                <c:pt idx="65">
                  <c:v>0.22</c:v>
                </c:pt>
                <c:pt idx="66">
                  <c:v>2.87</c:v>
                </c:pt>
                <c:pt idx="67">
                  <c:v>2.6</c:v>
                </c:pt>
                <c:pt idx="68">
                  <c:v>0.22</c:v>
                </c:pt>
                <c:pt idx="69">
                  <c:v>0.1</c:v>
                </c:pt>
              </c:numCache>
            </c:numRef>
          </c:yVal>
          <c:smooth val="1"/>
        </c:ser>
        <c:axId val="73186027"/>
        <c:axId val="61188733"/>
      </c:scatterChart>
      <c:valAx>
        <c:axId val="7318602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88733"/>
        <c:crosses val="autoZero"/>
        <c:crossBetween val="midCat"/>
      </c:valAx>
      <c:valAx>
        <c:axId val="611887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8602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DESBARATADO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Datos_Individuales!$F$182:$F$203</c:f>
              <c:numCache>
                <c:formatCode>#,##0</c:formatCode>
                <c:ptCount val="22"/>
                <c:pt idx="0">
                  <c:v>2163.024</c:v>
                </c:pt>
                <c:pt idx="1">
                  <c:v>2163.024</c:v>
                </c:pt>
                <c:pt idx="2">
                  <c:v>2163.024</c:v>
                </c:pt>
                <c:pt idx="3">
                  <c:v>2163.024</c:v>
                </c:pt>
                <c:pt idx="4">
                  <c:v>2163.024</c:v>
                </c:pt>
                <c:pt idx="5">
                  <c:v>2163.024</c:v>
                </c:pt>
                <c:pt idx="6">
                  <c:v>2163.024</c:v>
                </c:pt>
                <c:pt idx="7">
                  <c:v>2163.024</c:v>
                </c:pt>
                <c:pt idx="8">
                  <c:v>2163.024</c:v>
                </c:pt>
                <c:pt idx="9">
                  <c:v>2163.024</c:v>
                </c:pt>
                <c:pt idx="10">
                  <c:v>2163.024</c:v>
                </c:pt>
                <c:pt idx="11">
                  <c:v>7745.52</c:v>
                </c:pt>
                <c:pt idx="12">
                  <c:v>7745.52</c:v>
                </c:pt>
                <c:pt idx="13">
                  <c:v>7745.52</c:v>
                </c:pt>
                <c:pt idx="14">
                  <c:v>7745.52</c:v>
                </c:pt>
                <c:pt idx="15">
                  <c:v>7745.52</c:v>
                </c:pt>
                <c:pt idx="16">
                  <c:v>7745.52</c:v>
                </c:pt>
                <c:pt idx="17">
                  <c:v>7745.52</c:v>
                </c:pt>
                <c:pt idx="18">
                  <c:v>7745.52</c:v>
                </c:pt>
                <c:pt idx="19">
                  <c:v>7745.52</c:v>
                </c:pt>
                <c:pt idx="20">
                  <c:v>7745.52</c:v>
                </c:pt>
                <c:pt idx="21">
                  <c:v>7745.52</c:v>
                </c:pt>
              </c:numCache>
            </c:numRef>
          </c:xVal>
          <c:yVal>
            <c:numRef>
              <c:f>Datos_Individuales!$G$182:$G$203</c:f>
              <c:numCache>
                <c:formatCode>0.000</c:formatCode>
                <c:ptCount val="22"/>
                <c:pt idx="0">
                  <c:v>0.5</c:v>
                </c:pt>
                <c:pt idx="1">
                  <c:v>0.5</c:v>
                </c:pt>
                <c:pt idx="3">
                  <c:v>0.5</c:v>
                </c:pt>
                <c:pt idx="5">
                  <c:v>0.5</c:v>
                </c:pt>
                <c:pt idx="6">
                  <c:v>0.7</c:v>
                </c:pt>
                <c:pt idx="7">
                  <c:v>0.5</c:v>
                </c:pt>
                <c:pt idx="8">
                  <c:v>0.5</c:v>
                </c:pt>
                <c:pt idx="9">
                  <c:v>0.51</c:v>
                </c:pt>
                <c:pt idx="10">
                  <c:v>0.5</c:v>
                </c:pt>
                <c:pt idx="11">
                  <c:v>1.03</c:v>
                </c:pt>
                <c:pt idx="12">
                  <c:v>0.5</c:v>
                </c:pt>
                <c:pt idx="14">
                  <c:v>0.5</c:v>
                </c:pt>
                <c:pt idx="16">
                  <c:v>0.5</c:v>
                </c:pt>
                <c:pt idx="17">
                  <c:v>1.8</c:v>
                </c:pt>
                <c:pt idx="18">
                  <c:v>0.5</c:v>
                </c:pt>
                <c:pt idx="19">
                  <c:v>0.5</c:v>
                </c:pt>
                <c:pt idx="20">
                  <c:v>0.54</c:v>
                </c:pt>
                <c:pt idx="21">
                  <c:v>0.5</c:v>
                </c:pt>
              </c:numCache>
            </c:numRef>
          </c:yVal>
          <c:smooth val="1"/>
        </c:ser>
        <c:axId val="43519649"/>
        <c:axId val="15189844"/>
      </c:scatterChart>
      <c:valAx>
        <c:axId val="4351964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189844"/>
        <c:crosses val="autoZero"/>
        <c:crossBetween val="midCat"/>
      </c:valAx>
      <c:valAx>
        <c:axId val="151898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196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DESBARATADO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Datos_Individuales!$H$182:$H$203</c:f>
              <c:numCache>
                <c:formatCode>#,##0</c:formatCode>
                <c:ptCount val="22"/>
                <c:pt idx="0">
                  <c:v>270.378</c:v>
                </c:pt>
                <c:pt idx="1">
                  <c:v>270.378</c:v>
                </c:pt>
                <c:pt idx="2">
                  <c:v>270.378</c:v>
                </c:pt>
                <c:pt idx="3">
                  <c:v>270.378</c:v>
                </c:pt>
                <c:pt idx="4">
                  <c:v>270.378</c:v>
                </c:pt>
                <c:pt idx="5">
                  <c:v>270.378</c:v>
                </c:pt>
                <c:pt idx="6">
                  <c:v>270.378</c:v>
                </c:pt>
                <c:pt idx="7">
                  <c:v>270.378</c:v>
                </c:pt>
                <c:pt idx="8">
                  <c:v>270.378</c:v>
                </c:pt>
                <c:pt idx="9">
                  <c:v>270.378</c:v>
                </c:pt>
                <c:pt idx="10">
                  <c:v>270.378</c:v>
                </c:pt>
                <c:pt idx="11">
                  <c:v>968.19</c:v>
                </c:pt>
                <c:pt idx="12">
                  <c:v>968.19</c:v>
                </c:pt>
                <c:pt idx="13">
                  <c:v>968.19</c:v>
                </c:pt>
                <c:pt idx="14">
                  <c:v>968.19</c:v>
                </c:pt>
                <c:pt idx="15">
                  <c:v>968.19</c:v>
                </c:pt>
                <c:pt idx="16">
                  <c:v>968.19</c:v>
                </c:pt>
                <c:pt idx="17">
                  <c:v>968.19</c:v>
                </c:pt>
                <c:pt idx="18">
                  <c:v>968.19</c:v>
                </c:pt>
                <c:pt idx="19">
                  <c:v>968.19</c:v>
                </c:pt>
                <c:pt idx="20">
                  <c:v>968.19</c:v>
                </c:pt>
                <c:pt idx="21">
                  <c:v>968.19</c:v>
                </c:pt>
              </c:numCache>
            </c:numRef>
          </c:xVal>
          <c:yVal>
            <c:numRef>
              <c:f>Datos_Individuales!$I$182:$I$203</c:f>
              <c:numCache>
                <c:formatCode>0.000</c:formatCode>
                <c:ptCount val="22"/>
                <c:pt idx="0">
                  <c:v>0.1</c:v>
                </c:pt>
                <c:pt idx="1">
                  <c:v>0.1</c:v>
                </c:pt>
                <c:pt idx="2">
                  <c:v>0.37</c:v>
                </c:pt>
                <c:pt idx="3">
                  <c:v>0.37</c:v>
                </c:pt>
                <c:pt idx="4">
                  <c:v>0.35</c:v>
                </c:pt>
                <c:pt idx="5">
                  <c:v>0.25</c:v>
                </c:pt>
                <c:pt idx="6">
                  <c:v>0.19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1.73</c:v>
                </c:pt>
                <c:pt idx="14">
                  <c:v>0.1</c:v>
                </c:pt>
                <c:pt idx="15">
                  <c:v>0.66</c:v>
                </c:pt>
                <c:pt idx="16">
                  <c:v>0.21</c:v>
                </c:pt>
                <c:pt idx="17">
                  <c:v>0.3</c:v>
                </c:pt>
                <c:pt idx="18">
                  <c:v>0.1</c:v>
                </c:pt>
                <c:pt idx="19">
                  <c:v>0.14</c:v>
                </c:pt>
                <c:pt idx="20">
                  <c:v>0.1</c:v>
                </c:pt>
                <c:pt idx="21">
                  <c:v>0.12</c:v>
                </c:pt>
              </c:numCache>
            </c:numRef>
          </c:yVal>
          <c:smooth val="1"/>
        </c:ser>
        <c:axId val="10301691"/>
        <c:axId val="7924967"/>
      </c:scatterChart>
      <c:valAx>
        <c:axId val="1030169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4967"/>
        <c:crosses val="autoZero"/>
        <c:crossBetween val="midCat"/>
      </c:valAx>
      <c:valAx>
        <c:axId val="79249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016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AMAIME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Datos_Individuales!$F$204:$F$260</c:f>
              <c:numCache>
                <c:formatCode>#,##0</c:formatCode>
                <c:ptCount val="57"/>
                <c:pt idx="0">
                  <c:v>3399.36</c:v>
                </c:pt>
                <c:pt idx="1">
                  <c:v>3399.36</c:v>
                </c:pt>
                <c:pt idx="2">
                  <c:v>3399.36</c:v>
                </c:pt>
                <c:pt idx="3">
                  <c:v>3399.36</c:v>
                </c:pt>
                <c:pt idx="4">
                  <c:v>3399.36</c:v>
                </c:pt>
                <c:pt idx="5">
                  <c:v>3399.36</c:v>
                </c:pt>
                <c:pt idx="6">
                  <c:v>3399.36</c:v>
                </c:pt>
                <c:pt idx="7">
                  <c:v>3399.36</c:v>
                </c:pt>
                <c:pt idx="8">
                  <c:v>3399.36</c:v>
                </c:pt>
                <c:pt idx="9">
                  <c:v>3399.36</c:v>
                </c:pt>
                <c:pt idx="10">
                  <c:v>3399.36</c:v>
                </c:pt>
                <c:pt idx="11">
                  <c:v>3399.36</c:v>
                </c:pt>
                <c:pt idx="12">
                  <c:v>3399.36</c:v>
                </c:pt>
                <c:pt idx="13">
                  <c:v>3399.36</c:v>
                </c:pt>
                <c:pt idx="14">
                  <c:v>3399.36</c:v>
                </c:pt>
                <c:pt idx="15">
                  <c:v>3399.36</c:v>
                </c:pt>
                <c:pt idx="16">
                  <c:v>3399.36</c:v>
                </c:pt>
                <c:pt idx="17">
                  <c:v>3399.36</c:v>
                </c:pt>
                <c:pt idx="18">
                  <c:v>3399.36</c:v>
                </c:pt>
                <c:pt idx="19">
                  <c:v>3800.112</c:v>
                </c:pt>
                <c:pt idx="20">
                  <c:v>3800.112</c:v>
                </c:pt>
                <c:pt idx="21">
                  <c:v>3800.112</c:v>
                </c:pt>
                <c:pt idx="22">
                  <c:v>3800.112</c:v>
                </c:pt>
                <c:pt idx="23">
                  <c:v>3800.112</c:v>
                </c:pt>
                <c:pt idx="24">
                  <c:v>3800.112</c:v>
                </c:pt>
                <c:pt idx="25">
                  <c:v>3800.112</c:v>
                </c:pt>
                <c:pt idx="26">
                  <c:v>3800.112</c:v>
                </c:pt>
                <c:pt idx="27">
                  <c:v>3800.112</c:v>
                </c:pt>
                <c:pt idx="28">
                  <c:v>3800.112</c:v>
                </c:pt>
                <c:pt idx="29">
                  <c:v>3800.112</c:v>
                </c:pt>
                <c:pt idx="30">
                  <c:v>3800.112</c:v>
                </c:pt>
                <c:pt idx="31">
                  <c:v>3800.112</c:v>
                </c:pt>
                <c:pt idx="32">
                  <c:v>3800.112</c:v>
                </c:pt>
                <c:pt idx="33">
                  <c:v>3800.112</c:v>
                </c:pt>
                <c:pt idx="34">
                  <c:v>3800.112</c:v>
                </c:pt>
                <c:pt idx="35">
                  <c:v>3800.112</c:v>
                </c:pt>
                <c:pt idx="36">
                  <c:v>3800.112</c:v>
                </c:pt>
                <c:pt idx="37">
                  <c:v>3800.112</c:v>
                </c:pt>
                <c:pt idx="38">
                  <c:v>16684.128</c:v>
                </c:pt>
                <c:pt idx="39">
                  <c:v>16684.128</c:v>
                </c:pt>
                <c:pt idx="40">
                  <c:v>16684.128</c:v>
                </c:pt>
                <c:pt idx="41">
                  <c:v>16684.128</c:v>
                </c:pt>
                <c:pt idx="42">
                  <c:v>16684.128</c:v>
                </c:pt>
                <c:pt idx="43">
                  <c:v>16684.128</c:v>
                </c:pt>
                <c:pt idx="44">
                  <c:v>16684.128</c:v>
                </c:pt>
                <c:pt idx="45">
                  <c:v>16684.128</c:v>
                </c:pt>
                <c:pt idx="46">
                  <c:v>16684.128</c:v>
                </c:pt>
                <c:pt idx="47">
                  <c:v>16684.128</c:v>
                </c:pt>
                <c:pt idx="48">
                  <c:v>16684.128</c:v>
                </c:pt>
                <c:pt idx="49">
                  <c:v>16684.128</c:v>
                </c:pt>
                <c:pt idx="50">
                  <c:v>16684.128</c:v>
                </c:pt>
                <c:pt idx="51">
                  <c:v>16684.128</c:v>
                </c:pt>
                <c:pt idx="52">
                  <c:v>16684.128</c:v>
                </c:pt>
                <c:pt idx="53">
                  <c:v>16684.128</c:v>
                </c:pt>
                <c:pt idx="54">
                  <c:v>16684.128</c:v>
                </c:pt>
                <c:pt idx="55">
                  <c:v>16684.128</c:v>
                </c:pt>
                <c:pt idx="56">
                  <c:v>16684.128</c:v>
                </c:pt>
              </c:numCache>
            </c:numRef>
          </c:xVal>
          <c:yVal>
            <c:numRef>
              <c:f>Datos_Individuales!$G$204:$G$260</c:f>
              <c:numCache>
                <c:formatCode>0.000</c:formatCode>
                <c:ptCount val="57"/>
                <c:pt idx="1">
                  <c:v>2.18</c:v>
                </c:pt>
                <c:pt idx="2">
                  <c:v>0.663</c:v>
                </c:pt>
                <c:pt idx="5">
                  <c:v>0.5</c:v>
                </c:pt>
                <c:pt idx="6">
                  <c:v>3.4</c:v>
                </c:pt>
                <c:pt idx="7">
                  <c:v>0.69</c:v>
                </c:pt>
                <c:pt idx="11">
                  <c:v>1.24</c:v>
                </c:pt>
                <c:pt idx="16">
                  <c:v>0.366</c:v>
                </c:pt>
                <c:pt idx="18">
                  <c:v>0.517</c:v>
                </c:pt>
                <c:pt idx="20">
                  <c:v>2.47</c:v>
                </c:pt>
                <c:pt idx="21">
                  <c:v>0.805</c:v>
                </c:pt>
                <c:pt idx="24">
                  <c:v>1.22</c:v>
                </c:pt>
                <c:pt idx="25">
                  <c:v>3.78</c:v>
                </c:pt>
                <c:pt idx="26">
                  <c:v>0.882</c:v>
                </c:pt>
                <c:pt idx="30">
                  <c:v>1.77</c:v>
                </c:pt>
                <c:pt idx="37">
                  <c:v>0.884</c:v>
                </c:pt>
                <c:pt idx="39">
                  <c:v>2.63</c:v>
                </c:pt>
                <c:pt idx="40">
                  <c:v>0.974</c:v>
                </c:pt>
                <c:pt idx="43">
                  <c:v>0.866</c:v>
                </c:pt>
                <c:pt idx="44">
                  <c:v>3.72</c:v>
                </c:pt>
                <c:pt idx="45">
                  <c:v>1.17</c:v>
                </c:pt>
                <c:pt idx="49">
                  <c:v>1.41</c:v>
                </c:pt>
                <c:pt idx="56">
                  <c:v>0.97</c:v>
                </c:pt>
              </c:numCache>
            </c:numRef>
          </c:yVal>
          <c:smooth val="1"/>
        </c:ser>
        <c:axId val="21432550"/>
        <c:axId val="68839600"/>
      </c:scatterChart>
      <c:valAx>
        <c:axId val="2143255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39600"/>
        <c:crosses val="autoZero"/>
        <c:crossBetween val="midCat"/>
      </c:valAx>
      <c:valAx>
        <c:axId val="688396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3255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AMAIME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Datos_Individuales!$H$204:$H$260</c:f>
              <c:numCache>
                <c:formatCode>#,##0</c:formatCode>
                <c:ptCount val="57"/>
                <c:pt idx="0">
                  <c:v>424.92</c:v>
                </c:pt>
                <c:pt idx="1">
                  <c:v>424.92</c:v>
                </c:pt>
                <c:pt idx="2">
                  <c:v>424.92</c:v>
                </c:pt>
                <c:pt idx="3">
                  <c:v>424.92</c:v>
                </c:pt>
                <c:pt idx="4">
                  <c:v>424.92</c:v>
                </c:pt>
                <c:pt idx="5">
                  <c:v>424.92</c:v>
                </c:pt>
                <c:pt idx="6">
                  <c:v>424.92</c:v>
                </c:pt>
                <c:pt idx="7">
                  <c:v>424.92</c:v>
                </c:pt>
                <c:pt idx="8">
                  <c:v>424.92</c:v>
                </c:pt>
                <c:pt idx="9">
                  <c:v>424.92</c:v>
                </c:pt>
                <c:pt idx="10">
                  <c:v>424.92</c:v>
                </c:pt>
                <c:pt idx="11">
                  <c:v>424.92</c:v>
                </c:pt>
                <c:pt idx="12">
                  <c:v>424.92</c:v>
                </c:pt>
                <c:pt idx="13">
                  <c:v>424.92</c:v>
                </c:pt>
                <c:pt idx="14">
                  <c:v>424.92</c:v>
                </c:pt>
                <c:pt idx="15">
                  <c:v>424.92</c:v>
                </c:pt>
                <c:pt idx="16">
                  <c:v>424.92</c:v>
                </c:pt>
                <c:pt idx="17">
                  <c:v>424.92</c:v>
                </c:pt>
                <c:pt idx="18">
                  <c:v>424.92</c:v>
                </c:pt>
                <c:pt idx="19">
                  <c:v>475.014</c:v>
                </c:pt>
                <c:pt idx="20">
                  <c:v>475.014</c:v>
                </c:pt>
                <c:pt idx="21">
                  <c:v>475.014</c:v>
                </c:pt>
                <c:pt idx="22">
                  <c:v>475.014</c:v>
                </c:pt>
                <c:pt idx="23">
                  <c:v>475.014</c:v>
                </c:pt>
                <c:pt idx="24">
                  <c:v>475.014</c:v>
                </c:pt>
                <c:pt idx="25">
                  <c:v>475.014</c:v>
                </c:pt>
                <c:pt idx="26">
                  <c:v>475.014</c:v>
                </c:pt>
                <c:pt idx="27">
                  <c:v>475.014</c:v>
                </c:pt>
                <c:pt idx="28">
                  <c:v>475.014</c:v>
                </c:pt>
                <c:pt idx="29">
                  <c:v>475.014</c:v>
                </c:pt>
                <c:pt idx="30">
                  <c:v>475.014</c:v>
                </c:pt>
                <c:pt idx="31">
                  <c:v>475.014</c:v>
                </c:pt>
                <c:pt idx="32">
                  <c:v>475.014</c:v>
                </c:pt>
                <c:pt idx="33">
                  <c:v>475.014</c:v>
                </c:pt>
                <c:pt idx="34">
                  <c:v>475.014</c:v>
                </c:pt>
                <c:pt idx="35">
                  <c:v>475.014</c:v>
                </c:pt>
                <c:pt idx="36">
                  <c:v>475.014</c:v>
                </c:pt>
                <c:pt idx="37">
                  <c:v>475.014</c:v>
                </c:pt>
                <c:pt idx="38">
                  <c:v>2085.516</c:v>
                </c:pt>
                <c:pt idx="39">
                  <c:v>2085.516</c:v>
                </c:pt>
                <c:pt idx="40">
                  <c:v>2085.516</c:v>
                </c:pt>
                <c:pt idx="41">
                  <c:v>2085.516</c:v>
                </c:pt>
                <c:pt idx="42">
                  <c:v>2085.516</c:v>
                </c:pt>
                <c:pt idx="43">
                  <c:v>2085.516</c:v>
                </c:pt>
                <c:pt idx="44">
                  <c:v>2085.516</c:v>
                </c:pt>
                <c:pt idx="45">
                  <c:v>2085.516</c:v>
                </c:pt>
                <c:pt idx="46">
                  <c:v>2085.516</c:v>
                </c:pt>
                <c:pt idx="47">
                  <c:v>2085.516</c:v>
                </c:pt>
                <c:pt idx="48">
                  <c:v>2085.516</c:v>
                </c:pt>
                <c:pt idx="49">
                  <c:v>2085.516</c:v>
                </c:pt>
                <c:pt idx="50">
                  <c:v>2085.516</c:v>
                </c:pt>
                <c:pt idx="51">
                  <c:v>2085.516</c:v>
                </c:pt>
                <c:pt idx="52">
                  <c:v>2085.516</c:v>
                </c:pt>
                <c:pt idx="53">
                  <c:v>2085.516</c:v>
                </c:pt>
                <c:pt idx="54">
                  <c:v>2085.516</c:v>
                </c:pt>
                <c:pt idx="55">
                  <c:v>2085.516</c:v>
                </c:pt>
                <c:pt idx="56">
                  <c:v>2085.516</c:v>
                </c:pt>
              </c:numCache>
            </c:numRef>
          </c:xVal>
          <c:yVal>
            <c:numRef>
              <c:f>Datos_Individuales!$I$204:$I$260</c:f>
              <c:numCache>
                <c:formatCode>0.000</c:formatCode>
                <c:ptCount val="57"/>
                <c:pt idx="0">
                  <c:v>0.0662</c:v>
                </c:pt>
                <c:pt idx="1">
                  <c:v>0.0509</c:v>
                </c:pt>
                <c:pt idx="2">
                  <c:v>0.137</c:v>
                </c:pt>
                <c:pt idx="3">
                  <c:v>0.0662</c:v>
                </c:pt>
                <c:pt idx="4">
                  <c:v>0.153</c:v>
                </c:pt>
                <c:pt idx="5">
                  <c:v>0.0959</c:v>
                </c:pt>
                <c:pt idx="6">
                  <c:v>0.0946</c:v>
                </c:pt>
                <c:pt idx="7">
                  <c:v>0.0946</c:v>
                </c:pt>
                <c:pt idx="8">
                  <c:v>0.0946</c:v>
                </c:pt>
                <c:pt idx="9">
                  <c:v>0.0935</c:v>
                </c:pt>
                <c:pt idx="10">
                  <c:v>0.0959</c:v>
                </c:pt>
                <c:pt idx="11">
                  <c:v>1.13</c:v>
                </c:pt>
                <c:pt idx="12">
                  <c:v>0.0935</c:v>
                </c:pt>
                <c:pt idx="13">
                  <c:v>0.12</c:v>
                </c:pt>
                <c:pt idx="14">
                  <c:v>0.0959</c:v>
                </c:pt>
                <c:pt idx="15">
                  <c:v>0.068</c:v>
                </c:pt>
                <c:pt idx="16">
                  <c:v>0.0662</c:v>
                </c:pt>
                <c:pt idx="17">
                  <c:v>0.0662</c:v>
                </c:pt>
                <c:pt idx="18">
                  <c:v>0.0946</c:v>
                </c:pt>
                <c:pt idx="19">
                  <c:v>0.106</c:v>
                </c:pt>
                <c:pt idx="20">
                  <c:v>0.0509</c:v>
                </c:pt>
                <c:pt idx="21">
                  <c:v>0.122</c:v>
                </c:pt>
                <c:pt idx="22">
                  <c:v>0.0662</c:v>
                </c:pt>
                <c:pt idx="23">
                  <c:v>0.12</c:v>
                </c:pt>
                <c:pt idx="24">
                  <c:v>0.097</c:v>
                </c:pt>
                <c:pt idx="25">
                  <c:v>0.433</c:v>
                </c:pt>
                <c:pt idx="26">
                  <c:v>0.0946</c:v>
                </c:pt>
                <c:pt idx="27">
                  <c:v>0.323</c:v>
                </c:pt>
                <c:pt idx="28">
                  <c:v>0.283</c:v>
                </c:pt>
                <c:pt idx="29">
                  <c:v>0.0959</c:v>
                </c:pt>
                <c:pt idx="30">
                  <c:v>1.18</c:v>
                </c:pt>
                <c:pt idx="31">
                  <c:v>0.116</c:v>
                </c:pt>
                <c:pt idx="32">
                  <c:v>0.08</c:v>
                </c:pt>
                <c:pt idx="33">
                  <c:v>0.0959</c:v>
                </c:pt>
                <c:pt idx="34">
                  <c:v>0.085</c:v>
                </c:pt>
                <c:pt idx="35">
                  <c:v>1.7</c:v>
                </c:pt>
                <c:pt idx="36">
                  <c:v>0.075</c:v>
                </c:pt>
                <c:pt idx="37">
                  <c:v>0.096</c:v>
                </c:pt>
                <c:pt idx="38">
                  <c:v>0.0662</c:v>
                </c:pt>
                <c:pt idx="39">
                  <c:v>0.0509</c:v>
                </c:pt>
                <c:pt idx="40">
                  <c:v>0.311</c:v>
                </c:pt>
                <c:pt idx="41">
                  <c:v>0.209</c:v>
                </c:pt>
                <c:pt idx="42">
                  <c:v>0.307</c:v>
                </c:pt>
                <c:pt idx="43">
                  <c:v>0.102</c:v>
                </c:pt>
                <c:pt idx="44">
                  <c:v>0.286</c:v>
                </c:pt>
                <c:pt idx="45">
                  <c:v>0.257</c:v>
                </c:pt>
                <c:pt idx="46">
                  <c:v>0.189</c:v>
                </c:pt>
                <c:pt idx="47">
                  <c:v>0.227</c:v>
                </c:pt>
                <c:pt idx="48">
                  <c:v>0.124</c:v>
                </c:pt>
                <c:pt idx="49">
                  <c:v>0.792</c:v>
                </c:pt>
                <c:pt idx="50">
                  <c:v>0.174</c:v>
                </c:pt>
                <c:pt idx="51">
                  <c:v>0.39</c:v>
                </c:pt>
                <c:pt idx="52">
                  <c:v>0.0959</c:v>
                </c:pt>
                <c:pt idx="53">
                  <c:v>0.141</c:v>
                </c:pt>
                <c:pt idx="54">
                  <c:v>0.088</c:v>
                </c:pt>
                <c:pt idx="55">
                  <c:v>0.18</c:v>
                </c:pt>
                <c:pt idx="56">
                  <c:v>0.112</c:v>
                </c:pt>
              </c:numCache>
            </c:numRef>
          </c:yVal>
          <c:smooth val="1"/>
        </c:ser>
        <c:axId val="6640947"/>
        <c:axId val="21670924"/>
      </c:scatterChart>
      <c:valAx>
        <c:axId val="664094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70924"/>
        <c:crosses val="autoZero"/>
        <c:crossBetween val="midCat"/>
      </c:valAx>
      <c:valAx>
        <c:axId val="216709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409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NIMA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Datos_Individuales!$F$261:$F$278</c:f>
              <c:numCache>
                <c:formatCode>#,##0</c:formatCode>
                <c:ptCount val="18"/>
                <c:pt idx="0">
                  <c:v>4303.824</c:v>
                </c:pt>
                <c:pt idx="1">
                  <c:v>4303.824</c:v>
                </c:pt>
                <c:pt idx="2">
                  <c:v>4303.824</c:v>
                </c:pt>
                <c:pt idx="3">
                  <c:v>4303.824</c:v>
                </c:pt>
                <c:pt idx="4">
                  <c:v>4303.824</c:v>
                </c:pt>
                <c:pt idx="5">
                  <c:v>4303.824</c:v>
                </c:pt>
                <c:pt idx="6">
                  <c:v>4303.824</c:v>
                </c:pt>
                <c:pt idx="7">
                  <c:v>4303.824</c:v>
                </c:pt>
                <c:pt idx="8">
                  <c:v>4303.824</c:v>
                </c:pt>
                <c:pt idx="9">
                  <c:v>4303.824</c:v>
                </c:pt>
                <c:pt idx="10">
                  <c:v>4303.824</c:v>
                </c:pt>
                <c:pt idx="11">
                  <c:v>4303.824</c:v>
                </c:pt>
                <c:pt idx="12">
                  <c:v>4303.824</c:v>
                </c:pt>
                <c:pt idx="13">
                  <c:v>4303.824</c:v>
                </c:pt>
                <c:pt idx="14">
                  <c:v>4303.824</c:v>
                </c:pt>
                <c:pt idx="15">
                  <c:v>4303.824</c:v>
                </c:pt>
                <c:pt idx="16">
                  <c:v>4303.824</c:v>
                </c:pt>
                <c:pt idx="17">
                  <c:v>4303.824</c:v>
                </c:pt>
              </c:numCache>
            </c:numRef>
          </c:xVal>
          <c:yVal>
            <c:numRef>
              <c:f>Datos_Individuales!$G$261:$G$278</c:f>
              <c:numCache>
                <c:formatCode>0.000</c:formatCode>
                <c:ptCount val="18"/>
                <c:pt idx="2">
                  <c:v>7.87</c:v>
                </c:pt>
                <c:pt idx="3">
                  <c:v>1.96</c:v>
                </c:pt>
                <c:pt idx="4">
                  <c:v>4.43</c:v>
                </c:pt>
                <c:pt idx="8">
                  <c:v>1.78</c:v>
                </c:pt>
                <c:pt idx="11">
                  <c:v>1.44</c:v>
                </c:pt>
                <c:pt idx="13">
                  <c:v>2.12</c:v>
                </c:pt>
                <c:pt idx="14">
                  <c:v>1.2</c:v>
                </c:pt>
              </c:numCache>
            </c:numRef>
          </c:yVal>
          <c:smooth val="1"/>
        </c:ser>
        <c:axId val="96323814"/>
        <c:axId val="9632357"/>
      </c:scatterChart>
      <c:valAx>
        <c:axId val="9632381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2357"/>
        <c:crosses val="autoZero"/>
        <c:crossBetween val="midCat"/>
      </c:valAx>
      <c:valAx>
        <c:axId val="96323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238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NIMA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Datos_Individuales!$H$261:$H$278</c:f>
              <c:numCache>
                <c:formatCode>#,##0</c:formatCode>
                <c:ptCount val="18"/>
                <c:pt idx="0">
                  <c:v>537.978</c:v>
                </c:pt>
                <c:pt idx="1">
                  <c:v>537.978</c:v>
                </c:pt>
                <c:pt idx="2">
                  <c:v>537.978</c:v>
                </c:pt>
                <c:pt idx="3">
                  <c:v>537.978</c:v>
                </c:pt>
                <c:pt idx="4">
                  <c:v>537.978</c:v>
                </c:pt>
                <c:pt idx="5">
                  <c:v>537.978</c:v>
                </c:pt>
                <c:pt idx="6">
                  <c:v>537.978</c:v>
                </c:pt>
                <c:pt idx="7">
                  <c:v>537.978</c:v>
                </c:pt>
                <c:pt idx="8">
                  <c:v>537.978</c:v>
                </c:pt>
                <c:pt idx="9">
                  <c:v>537.978</c:v>
                </c:pt>
                <c:pt idx="10">
                  <c:v>537.978</c:v>
                </c:pt>
                <c:pt idx="11">
                  <c:v>537.978</c:v>
                </c:pt>
                <c:pt idx="12">
                  <c:v>537.978</c:v>
                </c:pt>
                <c:pt idx="13">
                  <c:v>537.978</c:v>
                </c:pt>
                <c:pt idx="14">
                  <c:v>537.978</c:v>
                </c:pt>
                <c:pt idx="15">
                  <c:v>537.978</c:v>
                </c:pt>
                <c:pt idx="16">
                  <c:v>537.978</c:v>
                </c:pt>
                <c:pt idx="17">
                  <c:v>537.978</c:v>
                </c:pt>
              </c:numCache>
            </c:numRef>
          </c:xVal>
          <c:yVal>
            <c:numRef>
              <c:f>Datos_Individuales!$I$261:$I$278</c:f>
              <c:numCache>
                <c:formatCode>0.000</c:formatCode>
                <c:ptCount val="18"/>
                <c:pt idx="0">
                  <c:v>0.39</c:v>
                </c:pt>
                <c:pt idx="1">
                  <c:v>0.0959</c:v>
                </c:pt>
                <c:pt idx="2">
                  <c:v>0.61</c:v>
                </c:pt>
                <c:pt idx="3">
                  <c:v>0.0509</c:v>
                </c:pt>
                <c:pt idx="4">
                  <c:v>0.311</c:v>
                </c:pt>
                <c:pt idx="5">
                  <c:v>0.245</c:v>
                </c:pt>
                <c:pt idx="6">
                  <c:v>0.0935</c:v>
                </c:pt>
                <c:pt idx="7">
                  <c:v>0.264</c:v>
                </c:pt>
                <c:pt idx="8">
                  <c:v>0.393</c:v>
                </c:pt>
                <c:pt idx="9">
                  <c:v>0.269</c:v>
                </c:pt>
                <c:pt idx="10">
                  <c:v>0.236</c:v>
                </c:pt>
                <c:pt idx="11">
                  <c:v>1.89</c:v>
                </c:pt>
                <c:pt idx="12">
                  <c:v>0.37</c:v>
                </c:pt>
                <c:pt idx="13">
                  <c:v>0.0959</c:v>
                </c:pt>
                <c:pt idx="14">
                  <c:v>0.0959</c:v>
                </c:pt>
                <c:pt idx="15">
                  <c:v>1.61</c:v>
                </c:pt>
                <c:pt idx="16">
                  <c:v>0.108</c:v>
                </c:pt>
                <c:pt idx="17">
                  <c:v>0.557</c:v>
                </c:pt>
              </c:numCache>
            </c:numRef>
          </c:yVal>
          <c:smooth val="1"/>
        </c:ser>
        <c:axId val="96552805"/>
        <c:axId val="9723785"/>
      </c:scatterChart>
      <c:valAx>
        <c:axId val="9655280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3785"/>
        <c:crosses val="autoZero"/>
        <c:crossBetween val="midCat"/>
      </c:valAx>
      <c:valAx>
        <c:axId val="97237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28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GUABAS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Datos_Individuales!$F$279:$F$295</c:f>
              <c:numCache>
                <c:formatCode>#,##0</c:formatCode>
                <c:ptCount val="17"/>
                <c:pt idx="0">
                  <c:v>8764.08</c:v>
                </c:pt>
                <c:pt idx="1">
                  <c:v>8764.08</c:v>
                </c:pt>
                <c:pt idx="2">
                  <c:v>8764.08</c:v>
                </c:pt>
                <c:pt idx="3">
                  <c:v>8764.08</c:v>
                </c:pt>
                <c:pt idx="4">
                  <c:v>8764.08</c:v>
                </c:pt>
                <c:pt idx="5">
                  <c:v>8764.08</c:v>
                </c:pt>
                <c:pt idx="6">
                  <c:v>8764.08</c:v>
                </c:pt>
                <c:pt idx="7">
                  <c:v>8764.08</c:v>
                </c:pt>
                <c:pt idx="8">
                  <c:v>8764.08</c:v>
                </c:pt>
                <c:pt idx="9">
                  <c:v>8764.08</c:v>
                </c:pt>
                <c:pt idx="10">
                  <c:v>8764.08</c:v>
                </c:pt>
                <c:pt idx="11">
                  <c:v>8764.08</c:v>
                </c:pt>
                <c:pt idx="12">
                  <c:v>8764.08</c:v>
                </c:pt>
                <c:pt idx="13">
                  <c:v>8764.08</c:v>
                </c:pt>
                <c:pt idx="14">
                  <c:v>8764.08</c:v>
                </c:pt>
                <c:pt idx="15">
                  <c:v>8764.08</c:v>
                </c:pt>
                <c:pt idx="16">
                  <c:v>8764.08</c:v>
                </c:pt>
              </c:numCache>
            </c:numRef>
          </c:xVal>
          <c:yVal>
            <c:numRef>
              <c:f>Datos_Individuales!$G$279:$G$295</c:f>
              <c:numCache>
                <c:formatCode>0.000</c:formatCode>
                <c:ptCount val="17"/>
                <c:pt idx="2">
                  <c:v>1.42</c:v>
                </c:pt>
                <c:pt idx="3">
                  <c:v>1.89</c:v>
                </c:pt>
                <c:pt idx="4">
                  <c:v>2.49</c:v>
                </c:pt>
                <c:pt idx="6">
                  <c:v>2.7</c:v>
                </c:pt>
                <c:pt idx="8">
                  <c:v>0.896</c:v>
                </c:pt>
                <c:pt idx="9">
                  <c:v>1.26</c:v>
                </c:pt>
                <c:pt idx="13">
                  <c:v>2.11</c:v>
                </c:pt>
              </c:numCache>
            </c:numRef>
          </c:yVal>
          <c:smooth val="1"/>
        </c:ser>
        <c:axId val="71966623"/>
        <c:axId val="57140334"/>
      </c:scatterChart>
      <c:valAx>
        <c:axId val="719666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40334"/>
        <c:crosses val="autoZero"/>
        <c:crossBetween val="midCat"/>
      </c:valAx>
      <c:valAx>
        <c:axId val="571403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666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GUABAS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Datos_Individuales!$H$279:$H$295</c:f>
              <c:numCache>
                <c:formatCode>#,##0</c:formatCode>
                <c:ptCount val="17"/>
                <c:pt idx="0">
                  <c:v>1095.51</c:v>
                </c:pt>
                <c:pt idx="1">
                  <c:v>1095.51</c:v>
                </c:pt>
                <c:pt idx="2">
                  <c:v>1095.51</c:v>
                </c:pt>
                <c:pt idx="3">
                  <c:v>1095.51</c:v>
                </c:pt>
                <c:pt idx="4">
                  <c:v>1095.51</c:v>
                </c:pt>
                <c:pt idx="5">
                  <c:v>1095.51</c:v>
                </c:pt>
                <c:pt idx="6">
                  <c:v>1095.51</c:v>
                </c:pt>
                <c:pt idx="7">
                  <c:v>1095.51</c:v>
                </c:pt>
                <c:pt idx="8">
                  <c:v>1095.51</c:v>
                </c:pt>
                <c:pt idx="9">
                  <c:v>1095.51</c:v>
                </c:pt>
                <c:pt idx="10">
                  <c:v>1095.51</c:v>
                </c:pt>
                <c:pt idx="11">
                  <c:v>1095.51</c:v>
                </c:pt>
                <c:pt idx="12">
                  <c:v>1095.51</c:v>
                </c:pt>
                <c:pt idx="13">
                  <c:v>1095.51</c:v>
                </c:pt>
                <c:pt idx="14">
                  <c:v>1095.51</c:v>
                </c:pt>
                <c:pt idx="15">
                  <c:v>1095.51</c:v>
                </c:pt>
                <c:pt idx="16">
                  <c:v>1095.51</c:v>
                </c:pt>
              </c:numCache>
            </c:numRef>
          </c:xVal>
          <c:yVal>
            <c:numRef>
              <c:f>Datos_Individuales!$I$279:$I$295</c:f>
              <c:numCache>
                <c:formatCode>0.000</c:formatCode>
                <c:ptCount val="17"/>
                <c:pt idx="0">
                  <c:v>0.072</c:v>
                </c:pt>
                <c:pt idx="1">
                  <c:v>0.0946</c:v>
                </c:pt>
                <c:pt idx="2">
                  <c:v>0.0946</c:v>
                </c:pt>
                <c:pt idx="3">
                  <c:v>0.113</c:v>
                </c:pt>
                <c:pt idx="4">
                  <c:v>0.13</c:v>
                </c:pt>
                <c:pt idx="5">
                  <c:v>0.226</c:v>
                </c:pt>
                <c:pt idx="6">
                  <c:v>0.297</c:v>
                </c:pt>
                <c:pt idx="7">
                  <c:v>0.182</c:v>
                </c:pt>
                <c:pt idx="8">
                  <c:v>0.096</c:v>
                </c:pt>
                <c:pt idx="9">
                  <c:v>0.161</c:v>
                </c:pt>
                <c:pt idx="10">
                  <c:v>0.0959</c:v>
                </c:pt>
                <c:pt idx="11">
                  <c:v>0.243</c:v>
                </c:pt>
                <c:pt idx="12">
                  <c:v>0.0959</c:v>
                </c:pt>
                <c:pt idx="13">
                  <c:v>0.0509</c:v>
                </c:pt>
                <c:pt idx="14">
                  <c:v>0.1</c:v>
                </c:pt>
                <c:pt idx="15">
                  <c:v>0.297</c:v>
                </c:pt>
                <c:pt idx="16">
                  <c:v>0.225</c:v>
                </c:pt>
              </c:numCache>
            </c:numRef>
          </c:yVal>
          <c:smooth val="1"/>
        </c:ser>
        <c:axId val="64321903"/>
        <c:axId val="23201703"/>
      </c:scatterChart>
      <c:valAx>
        <c:axId val="6432190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01703"/>
        <c:crosses val="autoZero"/>
        <c:crossBetween val="midCat"/>
      </c:valAx>
      <c:valAx>
        <c:axId val="232017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190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ZABALETAS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Datos_Individuales!$F$296:$F$343</c:f>
              <c:numCache>
                <c:formatCode>#,##0</c:formatCode>
                <c:ptCount val="48"/>
                <c:pt idx="0">
                  <c:v>214.656</c:v>
                </c:pt>
                <c:pt idx="1">
                  <c:v>214.656</c:v>
                </c:pt>
                <c:pt idx="2">
                  <c:v>214.656</c:v>
                </c:pt>
                <c:pt idx="3">
                  <c:v>214.656</c:v>
                </c:pt>
                <c:pt idx="4">
                  <c:v>214.656</c:v>
                </c:pt>
                <c:pt idx="5">
                  <c:v>214.656</c:v>
                </c:pt>
                <c:pt idx="6">
                  <c:v>214.656</c:v>
                </c:pt>
                <c:pt idx="7">
                  <c:v>214.656</c:v>
                </c:pt>
                <c:pt idx="8">
                  <c:v>214.656</c:v>
                </c:pt>
                <c:pt idx="9">
                  <c:v>214.656</c:v>
                </c:pt>
                <c:pt idx="10">
                  <c:v>214.656</c:v>
                </c:pt>
                <c:pt idx="11">
                  <c:v>214.656</c:v>
                </c:pt>
                <c:pt idx="12">
                  <c:v>214.656</c:v>
                </c:pt>
                <c:pt idx="13">
                  <c:v>214.656</c:v>
                </c:pt>
                <c:pt idx="14">
                  <c:v>214.656</c:v>
                </c:pt>
                <c:pt idx="15">
                  <c:v>214.656</c:v>
                </c:pt>
                <c:pt idx="16">
                  <c:v>1860.336</c:v>
                </c:pt>
                <c:pt idx="17">
                  <c:v>1860.336</c:v>
                </c:pt>
                <c:pt idx="18">
                  <c:v>1860.336</c:v>
                </c:pt>
                <c:pt idx="19">
                  <c:v>1860.336</c:v>
                </c:pt>
                <c:pt idx="20">
                  <c:v>1860.336</c:v>
                </c:pt>
                <c:pt idx="21">
                  <c:v>1860.336</c:v>
                </c:pt>
                <c:pt idx="22">
                  <c:v>1860.336</c:v>
                </c:pt>
                <c:pt idx="23">
                  <c:v>1860.336</c:v>
                </c:pt>
                <c:pt idx="24">
                  <c:v>1860.336</c:v>
                </c:pt>
                <c:pt idx="25">
                  <c:v>1860.336</c:v>
                </c:pt>
                <c:pt idx="26">
                  <c:v>1860.336</c:v>
                </c:pt>
                <c:pt idx="27">
                  <c:v>1860.336</c:v>
                </c:pt>
                <c:pt idx="28">
                  <c:v>1860.336</c:v>
                </c:pt>
                <c:pt idx="29">
                  <c:v>1860.336</c:v>
                </c:pt>
                <c:pt idx="30">
                  <c:v>1860.336</c:v>
                </c:pt>
                <c:pt idx="31">
                  <c:v>1860.336</c:v>
                </c:pt>
                <c:pt idx="32">
                  <c:v>12129.456</c:v>
                </c:pt>
                <c:pt idx="33">
                  <c:v>12129.456</c:v>
                </c:pt>
                <c:pt idx="34">
                  <c:v>12129.456</c:v>
                </c:pt>
                <c:pt idx="35">
                  <c:v>12129.456</c:v>
                </c:pt>
                <c:pt idx="36">
                  <c:v>12129.456</c:v>
                </c:pt>
                <c:pt idx="37">
                  <c:v>12129.456</c:v>
                </c:pt>
                <c:pt idx="38">
                  <c:v>12129.456</c:v>
                </c:pt>
                <c:pt idx="39">
                  <c:v>12129.456</c:v>
                </c:pt>
                <c:pt idx="40">
                  <c:v>12129.456</c:v>
                </c:pt>
                <c:pt idx="41">
                  <c:v>12129.456</c:v>
                </c:pt>
                <c:pt idx="42">
                  <c:v>12129.456</c:v>
                </c:pt>
                <c:pt idx="43">
                  <c:v>12129.456</c:v>
                </c:pt>
                <c:pt idx="44">
                  <c:v>12129.456</c:v>
                </c:pt>
                <c:pt idx="45">
                  <c:v>12129.456</c:v>
                </c:pt>
                <c:pt idx="46">
                  <c:v>12129.456</c:v>
                </c:pt>
                <c:pt idx="47">
                  <c:v>12129.456</c:v>
                </c:pt>
              </c:numCache>
            </c:numRef>
          </c:xVal>
          <c:yVal>
            <c:numRef>
              <c:f>Datos_Individuales!$G$296:$G$343</c:f>
              <c:numCache>
                <c:formatCode>0.000</c:formatCode>
                <c:ptCount val="48"/>
                <c:pt idx="2">
                  <c:v>2.84</c:v>
                </c:pt>
                <c:pt idx="3">
                  <c:v>0.734</c:v>
                </c:pt>
                <c:pt idx="4">
                  <c:v>1.08</c:v>
                </c:pt>
                <c:pt idx="6">
                  <c:v>0.709</c:v>
                </c:pt>
                <c:pt idx="7">
                  <c:v>0.709</c:v>
                </c:pt>
                <c:pt idx="8">
                  <c:v>0.93</c:v>
                </c:pt>
                <c:pt idx="9">
                  <c:v>0.93</c:v>
                </c:pt>
                <c:pt idx="10">
                  <c:v>0.752</c:v>
                </c:pt>
                <c:pt idx="18">
                  <c:v>2.57</c:v>
                </c:pt>
                <c:pt idx="19">
                  <c:v>0.628</c:v>
                </c:pt>
                <c:pt idx="20">
                  <c:v>1.18</c:v>
                </c:pt>
                <c:pt idx="22">
                  <c:v>0.886</c:v>
                </c:pt>
                <c:pt idx="23">
                  <c:v>0.886</c:v>
                </c:pt>
                <c:pt idx="24">
                  <c:v>0.878</c:v>
                </c:pt>
                <c:pt idx="25">
                  <c:v>0.878</c:v>
                </c:pt>
                <c:pt idx="26">
                  <c:v>1.42</c:v>
                </c:pt>
                <c:pt idx="34">
                  <c:v>3.42</c:v>
                </c:pt>
                <c:pt idx="35">
                  <c:v>1.23</c:v>
                </c:pt>
                <c:pt idx="36">
                  <c:v>2.78</c:v>
                </c:pt>
                <c:pt idx="38">
                  <c:v>3.01</c:v>
                </c:pt>
                <c:pt idx="39">
                  <c:v>3.01</c:v>
                </c:pt>
                <c:pt idx="40">
                  <c:v>1.79</c:v>
                </c:pt>
                <c:pt idx="41">
                  <c:v>1.79</c:v>
                </c:pt>
                <c:pt idx="42">
                  <c:v>2.68</c:v>
                </c:pt>
              </c:numCache>
            </c:numRef>
          </c:yVal>
          <c:smooth val="1"/>
        </c:ser>
        <c:axId val="32624479"/>
        <c:axId val="1802113"/>
      </c:scatterChart>
      <c:valAx>
        <c:axId val="3262447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2113"/>
        <c:crosses val="autoZero"/>
        <c:crossBetween val="midCat"/>
      </c:valAx>
      <c:valAx>
        <c:axId val="18021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244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ZABALETAS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Datos_Individuales!$H$296:$H$343</c:f>
              <c:numCache>
                <c:formatCode>#,##0</c:formatCode>
                <c:ptCount val="48"/>
                <c:pt idx="0">
                  <c:v>26.832</c:v>
                </c:pt>
                <c:pt idx="1">
                  <c:v>26.832</c:v>
                </c:pt>
                <c:pt idx="2">
                  <c:v>26.832</c:v>
                </c:pt>
                <c:pt idx="3">
                  <c:v>26.832</c:v>
                </c:pt>
                <c:pt idx="4">
                  <c:v>26.832</c:v>
                </c:pt>
                <c:pt idx="5">
                  <c:v>26.832</c:v>
                </c:pt>
                <c:pt idx="6">
                  <c:v>26.832</c:v>
                </c:pt>
                <c:pt idx="7">
                  <c:v>26.832</c:v>
                </c:pt>
                <c:pt idx="8">
                  <c:v>26.832</c:v>
                </c:pt>
                <c:pt idx="9">
                  <c:v>26.832</c:v>
                </c:pt>
                <c:pt idx="10">
                  <c:v>26.832</c:v>
                </c:pt>
                <c:pt idx="11">
                  <c:v>26.832</c:v>
                </c:pt>
                <c:pt idx="12">
                  <c:v>26.832</c:v>
                </c:pt>
                <c:pt idx="13">
                  <c:v>26.832</c:v>
                </c:pt>
                <c:pt idx="14">
                  <c:v>26.832</c:v>
                </c:pt>
                <c:pt idx="15">
                  <c:v>26.832</c:v>
                </c:pt>
                <c:pt idx="16">
                  <c:v>232.542</c:v>
                </c:pt>
                <c:pt idx="17">
                  <c:v>232.542</c:v>
                </c:pt>
                <c:pt idx="18">
                  <c:v>232.542</c:v>
                </c:pt>
                <c:pt idx="19">
                  <c:v>232.542</c:v>
                </c:pt>
                <c:pt idx="20">
                  <c:v>232.542</c:v>
                </c:pt>
                <c:pt idx="21">
                  <c:v>232.542</c:v>
                </c:pt>
                <c:pt idx="22">
                  <c:v>232.542</c:v>
                </c:pt>
                <c:pt idx="23">
                  <c:v>232.542</c:v>
                </c:pt>
                <c:pt idx="24">
                  <c:v>232.542</c:v>
                </c:pt>
                <c:pt idx="25">
                  <c:v>232.542</c:v>
                </c:pt>
                <c:pt idx="26">
                  <c:v>232.542</c:v>
                </c:pt>
                <c:pt idx="27">
                  <c:v>232.542</c:v>
                </c:pt>
                <c:pt idx="28">
                  <c:v>232.542</c:v>
                </c:pt>
                <c:pt idx="29">
                  <c:v>232.542</c:v>
                </c:pt>
                <c:pt idx="30">
                  <c:v>232.542</c:v>
                </c:pt>
                <c:pt idx="31">
                  <c:v>232.542</c:v>
                </c:pt>
                <c:pt idx="32">
                  <c:v>1516.182</c:v>
                </c:pt>
                <c:pt idx="33">
                  <c:v>1516.182</c:v>
                </c:pt>
                <c:pt idx="34">
                  <c:v>1516.182</c:v>
                </c:pt>
                <c:pt idx="35">
                  <c:v>1516.182</c:v>
                </c:pt>
                <c:pt idx="36">
                  <c:v>1516.182</c:v>
                </c:pt>
                <c:pt idx="37">
                  <c:v>1516.182</c:v>
                </c:pt>
                <c:pt idx="38">
                  <c:v>1516.182</c:v>
                </c:pt>
                <c:pt idx="39">
                  <c:v>1516.182</c:v>
                </c:pt>
                <c:pt idx="40">
                  <c:v>1516.182</c:v>
                </c:pt>
                <c:pt idx="41">
                  <c:v>1516.182</c:v>
                </c:pt>
                <c:pt idx="42">
                  <c:v>1516.182</c:v>
                </c:pt>
                <c:pt idx="43">
                  <c:v>1516.182</c:v>
                </c:pt>
                <c:pt idx="44">
                  <c:v>1516.182</c:v>
                </c:pt>
                <c:pt idx="45">
                  <c:v>1516.182</c:v>
                </c:pt>
                <c:pt idx="46">
                  <c:v>1516.182</c:v>
                </c:pt>
                <c:pt idx="47">
                  <c:v>1516.182</c:v>
                </c:pt>
              </c:numCache>
            </c:numRef>
          </c:xVal>
          <c:yVal>
            <c:numRef>
              <c:f>Datos_Individuales!$I$296:$I$343</c:f>
              <c:numCache>
                <c:formatCode>0.000</c:formatCode>
                <c:ptCount val="48"/>
                <c:pt idx="0">
                  <c:v>0.0662</c:v>
                </c:pt>
                <c:pt idx="1">
                  <c:v>0.0946</c:v>
                </c:pt>
                <c:pt idx="2">
                  <c:v>0.252</c:v>
                </c:pt>
                <c:pt idx="3">
                  <c:v>0.0946</c:v>
                </c:pt>
                <c:pt idx="4">
                  <c:v>0.0946</c:v>
                </c:pt>
                <c:pt idx="5">
                  <c:v>0.0935</c:v>
                </c:pt>
                <c:pt idx="6">
                  <c:v>0.0959</c:v>
                </c:pt>
                <c:pt idx="7">
                  <c:v>0.0959</c:v>
                </c:pt>
                <c:pt idx="8">
                  <c:v>0.343</c:v>
                </c:pt>
                <c:pt idx="9">
                  <c:v>0.343</c:v>
                </c:pt>
                <c:pt idx="10">
                  <c:v>0.104</c:v>
                </c:pt>
                <c:pt idx="11">
                  <c:v>0.0959</c:v>
                </c:pt>
                <c:pt idx="12">
                  <c:v>0.0662</c:v>
                </c:pt>
                <c:pt idx="13">
                  <c:v>0.0959</c:v>
                </c:pt>
                <c:pt idx="14">
                  <c:v>0.0509</c:v>
                </c:pt>
                <c:pt idx="15">
                  <c:v>0.0662</c:v>
                </c:pt>
                <c:pt idx="16">
                  <c:v>0.0662</c:v>
                </c:pt>
                <c:pt idx="17">
                  <c:v>0.0946</c:v>
                </c:pt>
                <c:pt idx="18">
                  <c:v>0.234</c:v>
                </c:pt>
                <c:pt idx="19">
                  <c:v>0.0946</c:v>
                </c:pt>
                <c:pt idx="20">
                  <c:v>0.0946</c:v>
                </c:pt>
                <c:pt idx="21">
                  <c:v>0.215</c:v>
                </c:pt>
                <c:pt idx="22">
                  <c:v>0.0959</c:v>
                </c:pt>
                <c:pt idx="23">
                  <c:v>0.0959</c:v>
                </c:pt>
                <c:pt idx="24">
                  <c:v>0.0959</c:v>
                </c:pt>
                <c:pt idx="25">
                  <c:v>0.0959</c:v>
                </c:pt>
                <c:pt idx="26">
                  <c:v>0.298</c:v>
                </c:pt>
                <c:pt idx="27">
                  <c:v>0.21</c:v>
                </c:pt>
                <c:pt idx="28">
                  <c:v>0.091</c:v>
                </c:pt>
                <c:pt idx="29">
                  <c:v>0.0959</c:v>
                </c:pt>
                <c:pt idx="30">
                  <c:v>0.055</c:v>
                </c:pt>
                <c:pt idx="31">
                  <c:v>0.0662</c:v>
                </c:pt>
                <c:pt idx="32">
                  <c:v>0.22</c:v>
                </c:pt>
                <c:pt idx="33">
                  <c:v>0.314</c:v>
                </c:pt>
                <c:pt idx="34">
                  <c:v>0.0946</c:v>
                </c:pt>
                <c:pt idx="35">
                  <c:v>0.18</c:v>
                </c:pt>
                <c:pt idx="36">
                  <c:v>0.35</c:v>
                </c:pt>
                <c:pt idx="37">
                  <c:v>0.401</c:v>
                </c:pt>
                <c:pt idx="38">
                  <c:v>0.384</c:v>
                </c:pt>
                <c:pt idx="39">
                  <c:v>0.384</c:v>
                </c:pt>
                <c:pt idx="40">
                  <c:v>0.156</c:v>
                </c:pt>
                <c:pt idx="41">
                  <c:v>0.156</c:v>
                </c:pt>
                <c:pt idx="42">
                  <c:v>0.435</c:v>
                </c:pt>
                <c:pt idx="43">
                  <c:v>0.419</c:v>
                </c:pt>
                <c:pt idx="44">
                  <c:v>0.295</c:v>
                </c:pt>
                <c:pt idx="45">
                  <c:v>0.0959</c:v>
                </c:pt>
                <c:pt idx="46">
                  <c:v>0.099</c:v>
                </c:pt>
                <c:pt idx="47">
                  <c:v>0.334</c:v>
                </c:pt>
              </c:numCache>
            </c:numRef>
          </c:yVal>
          <c:smooth val="1"/>
        </c:ser>
        <c:axId val="82947340"/>
        <c:axId val="86056532"/>
      </c:scatterChart>
      <c:valAx>
        <c:axId val="829473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56532"/>
        <c:crosses val="autoZero"/>
        <c:crossBetween val="midCat"/>
      </c:valAx>
      <c:valAx>
        <c:axId val="860565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94734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GUADALAJARA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Datos_Individuales!$F$344:$F$400</c:f>
              <c:numCache>
                <c:formatCode>#,##0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1281.12</c:v>
                </c:pt>
                <c:pt idx="39">
                  <c:v>1281.12</c:v>
                </c:pt>
                <c:pt idx="40">
                  <c:v>1281.12</c:v>
                </c:pt>
                <c:pt idx="41">
                  <c:v>1281.12</c:v>
                </c:pt>
                <c:pt idx="42">
                  <c:v>1281.12</c:v>
                </c:pt>
                <c:pt idx="43">
                  <c:v>1281.12</c:v>
                </c:pt>
                <c:pt idx="44">
                  <c:v>1281.12</c:v>
                </c:pt>
                <c:pt idx="45">
                  <c:v>1281.12</c:v>
                </c:pt>
                <c:pt idx="46">
                  <c:v>1281.12</c:v>
                </c:pt>
                <c:pt idx="47">
                  <c:v>1281.12</c:v>
                </c:pt>
                <c:pt idx="48">
                  <c:v>1281.12</c:v>
                </c:pt>
                <c:pt idx="49">
                  <c:v>1281.12</c:v>
                </c:pt>
                <c:pt idx="50">
                  <c:v>1281.12</c:v>
                </c:pt>
                <c:pt idx="51">
                  <c:v>1281.12</c:v>
                </c:pt>
                <c:pt idx="52">
                  <c:v>1281.12</c:v>
                </c:pt>
                <c:pt idx="53">
                  <c:v>1281.12</c:v>
                </c:pt>
                <c:pt idx="54">
                  <c:v>1281.12</c:v>
                </c:pt>
                <c:pt idx="55">
                  <c:v>1281.12</c:v>
                </c:pt>
                <c:pt idx="56">
                  <c:v>1281.12</c:v>
                </c:pt>
              </c:numCache>
            </c:numRef>
          </c:xVal>
          <c:yVal>
            <c:numRef>
              <c:f>Datos_Individuales!$G$344:$G$400</c:f>
              <c:numCache>
                <c:formatCode>0.000</c:formatCode>
                <c:ptCount val="57"/>
                <c:pt idx="5">
                  <c:v>0.854</c:v>
                </c:pt>
                <c:pt idx="6">
                  <c:v>0.735</c:v>
                </c:pt>
                <c:pt idx="7">
                  <c:v>0.9</c:v>
                </c:pt>
                <c:pt idx="11">
                  <c:v>0.366</c:v>
                </c:pt>
                <c:pt idx="12">
                  <c:v>0.812</c:v>
                </c:pt>
                <c:pt idx="17">
                  <c:v>0.463</c:v>
                </c:pt>
                <c:pt idx="20">
                  <c:v>1.81</c:v>
                </c:pt>
                <c:pt idx="24">
                  <c:v>0.846</c:v>
                </c:pt>
                <c:pt idx="25">
                  <c:v>0.498</c:v>
                </c:pt>
                <c:pt idx="26">
                  <c:v>0.56</c:v>
                </c:pt>
                <c:pt idx="31">
                  <c:v>0.732</c:v>
                </c:pt>
                <c:pt idx="36">
                  <c:v>2.55</c:v>
                </c:pt>
                <c:pt idx="39">
                  <c:v>1.72</c:v>
                </c:pt>
                <c:pt idx="43">
                  <c:v>1.36</c:v>
                </c:pt>
                <c:pt idx="44">
                  <c:v>8.46</c:v>
                </c:pt>
                <c:pt idx="45">
                  <c:v>2.6</c:v>
                </c:pt>
                <c:pt idx="50">
                  <c:v>0.925</c:v>
                </c:pt>
                <c:pt idx="55">
                  <c:v>1.52</c:v>
                </c:pt>
              </c:numCache>
            </c:numRef>
          </c:yVal>
          <c:smooth val="1"/>
        </c:ser>
        <c:axId val="19002712"/>
        <c:axId val="33038223"/>
      </c:scatterChart>
      <c:valAx>
        <c:axId val="1900271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38223"/>
        <c:crosses val="autoZero"/>
        <c:crossBetween val="midCat"/>
      </c:valAx>
      <c:valAx>
        <c:axId val="330382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027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GUADALAJARA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Datos_Individuales!$H$344:$H$400</c:f>
              <c:numCache>
                <c:formatCode>#,##0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160.14</c:v>
                </c:pt>
                <c:pt idx="39">
                  <c:v>160.14</c:v>
                </c:pt>
                <c:pt idx="40">
                  <c:v>160.14</c:v>
                </c:pt>
                <c:pt idx="41">
                  <c:v>160.14</c:v>
                </c:pt>
                <c:pt idx="42">
                  <c:v>160.14</c:v>
                </c:pt>
                <c:pt idx="43">
                  <c:v>160.14</c:v>
                </c:pt>
                <c:pt idx="44">
                  <c:v>160.14</c:v>
                </c:pt>
                <c:pt idx="45">
                  <c:v>160.14</c:v>
                </c:pt>
                <c:pt idx="46">
                  <c:v>160.14</c:v>
                </c:pt>
                <c:pt idx="47">
                  <c:v>160.14</c:v>
                </c:pt>
                <c:pt idx="48">
                  <c:v>160.14</c:v>
                </c:pt>
                <c:pt idx="49">
                  <c:v>160.14</c:v>
                </c:pt>
                <c:pt idx="50">
                  <c:v>160.14</c:v>
                </c:pt>
                <c:pt idx="51">
                  <c:v>160.14</c:v>
                </c:pt>
                <c:pt idx="52">
                  <c:v>160.14</c:v>
                </c:pt>
                <c:pt idx="53">
                  <c:v>160.14</c:v>
                </c:pt>
                <c:pt idx="54">
                  <c:v>160.14</c:v>
                </c:pt>
                <c:pt idx="55">
                  <c:v>160.14</c:v>
                </c:pt>
                <c:pt idx="56">
                  <c:v>160.14</c:v>
                </c:pt>
              </c:numCache>
            </c:numRef>
          </c:xVal>
          <c:yVal>
            <c:numRef>
              <c:f>Datos_Individuales!$I$344:$I$400</c:f>
              <c:numCache>
                <c:formatCode>0.000</c:formatCode>
                <c:ptCount val="57"/>
                <c:pt idx="0">
                  <c:v>0.0959</c:v>
                </c:pt>
                <c:pt idx="1">
                  <c:v>0.0509</c:v>
                </c:pt>
                <c:pt idx="2">
                  <c:v>0.0662</c:v>
                </c:pt>
                <c:pt idx="3">
                  <c:v>0.0662</c:v>
                </c:pt>
                <c:pt idx="4">
                  <c:v>0.0662</c:v>
                </c:pt>
                <c:pt idx="5">
                  <c:v>0.0959</c:v>
                </c:pt>
                <c:pt idx="6">
                  <c:v>0.0946</c:v>
                </c:pt>
                <c:pt idx="7">
                  <c:v>0.0946</c:v>
                </c:pt>
                <c:pt idx="8">
                  <c:v>0.0935</c:v>
                </c:pt>
                <c:pt idx="9">
                  <c:v>0.0935</c:v>
                </c:pt>
                <c:pt idx="10">
                  <c:v>0.0662</c:v>
                </c:pt>
                <c:pt idx="11">
                  <c:v>0.0662</c:v>
                </c:pt>
                <c:pt idx="12">
                  <c:v>0.0946</c:v>
                </c:pt>
                <c:pt idx="13">
                  <c:v>0.0946</c:v>
                </c:pt>
                <c:pt idx="14">
                  <c:v>0.076</c:v>
                </c:pt>
                <c:pt idx="15">
                  <c:v>0.0946</c:v>
                </c:pt>
                <c:pt idx="16">
                  <c:v>0.0959</c:v>
                </c:pt>
                <c:pt idx="17">
                  <c:v>0.0946</c:v>
                </c:pt>
                <c:pt idx="18">
                  <c:v>0.0509</c:v>
                </c:pt>
                <c:pt idx="19">
                  <c:v>0.0959</c:v>
                </c:pt>
                <c:pt idx="20">
                  <c:v>0.0509</c:v>
                </c:pt>
                <c:pt idx="21">
                  <c:v>3.36</c:v>
                </c:pt>
                <c:pt idx="22">
                  <c:v>0.0662</c:v>
                </c:pt>
                <c:pt idx="23">
                  <c:v>0.0662</c:v>
                </c:pt>
                <c:pt idx="24">
                  <c:v>0.0959</c:v>
                </c:pt>
                <c:pt idx="25">
                  <c:v>0.0946</c:v>
                </c:pt>
                <c:pt idx="26">
                  <c:v>0.0946</c:v>
                </c:pt>
                <c:pt idx="27">
                  <c:v>0.0935</c:v>
                </c:pt>
                <c:pt idx="28">
                  <c:v>0.0935</c:v>
                </c:pt>
                <c:pt idx="29">
                  <c:v>0.067</c:v>
                </c:pt>
                <c:pt idx="30">
                  <c:v>0.0662</c:v>
                </c:pt>
                <c:pt idx="31">
                  <c:v>0.0946</c:v>
                </c:pt>
                <c:pt idx="32">
                  <c:v>0.0946</c:v>
                </c:pt>
                <c:pt idx="33">
                  <c:v>0.501</c:v>
                </c:pt>
                <c:pt idx="34">
                  <c:v>0.0946</c:v>
                </c:pt>
                <c:pt idx="35">
                  <c:v>0.0959</c:v>
                </c:pt>
                <c:pt idx="36">
                  <c:v>0.189</c:v>
                </c:pt>
                <c:pt idx="37">
                  <c:v>0.09</c:v>
                </c:pt>
                <c:pt idx="38">
                  <c:v>0.176</c:v>
                </c:pt>
                <c:pt idx="39">
                  <c:v>0.0509</c:v>
                </c:pt>
                <c:pt idx="40">
                  <c:v>0.0662</c:v>
                </c:pt>
                <c:pt idx="41">
                  <c:v>0.0662</c:v>
                </c:pt>
                <c:pt idx="42">
                  <c:v>0.0662</c:v>
                </c:pt>
                <c:pt idx="43">
                  <c:v>0.0959</c:v>
                </c:pt>
                <c:pt idx="44">
                  <c:v>1.12</c:v>
                </c:pt>
                <c:pt idx="45">
                  <c:v>0.49</c:v>
                </c:pt>
                <c:pt idx="46">
                  <c:v>0.0935</c:v>
                </c:pt>
                <c:pt idx="47">
                  <c:v>0.0935</c:v>
                </c:pt>
                <c:pt idx="48">
                  <c:v>0.0662</c:v>
                </c:pt>
                <c:pt idx="49">
                  <c:v>0.083</c:v>
                </c:pt>
                <c:pt idx="50">
                  <c:v>0.0946</c:v>
                </c:pt>
                <c:pt idx="51">
                  <c:v>0.12</c:v>
                </c:pt>
                <c:pt idx="52">
                  <c:v>0.278</c:v>
                </c:pt>
                <c:pt idx="53">
                  <c:v>0.0946</c:v>
                </c:pt>
                <c:pt idx="54">
                  <c:v>0.0959</c:v>
                </c:pt>
                <c:pt idx="55">
                  <c:v>0.328</c:v>
                </c:pt>
                <c:pt idx="56">
                  <c:v>0.08</c:v>
                </c:pt>
              </c:numCache>
            </c:numRef>
          </c:yVal>
          <c:smooth val="1"/>
        </c:ser>
        <c:axId val="83449883"/>
        <c:axId val="85095849"/>
      </c:scatterChart>
      <c:valAx>
        <c:axId val="8344988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95849"/>
        <c:crosses val="autoZero"/>
        <c:crossBetween val="midCat"/>
      </c:valAx>
      <c:valAx>
        <c:axId val="850958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498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RIOFRÍO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Datos_Individuales!$F$401:$F$470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571.248</c:v>
                </c:pt>
                <c:pt idx="37">
                  <c:v>571.248</c:v>
                </c:pt>
                <c:pt idx="38">
                  <c:v>571.248</c:v>
                </c:pt>
                <c:pt idx="39">
                  <c:v>571.248</c:v>
                </c:pt>
                <c:pt idx="40">
                  <c:v>571.248</c:v>
                </c:pt>
                <c:pt idx="41">
                  <c:v>571.248</c:v>
                </c:pt>
                <c:pt idx="42">
                  <c:v>571.248</c:v>
                </c:pt>
                <c:pt idx="43">
                  <c:v>571.248</c:v>
                </c:pt>
                <c:pt idx="44">
                  <c:v>571.248</c:v>
                </c:pt>
                <c:pt idx="45">
                  <c:v>571.248</c:v>
                </c:pt>
                <c:pt idx="46">
                  <c:v>571.248</c:v>
                </c:pt>
                <c:pt idx="47">
                  <c:v>571.248</c:v>
                </c:pt>
                <c:pt idx="48">
                  <c:v>571.248</c:v>
                </c:pt>
                <c:pt idx="49">
                  <c:v>571.248</c:v>
                </c:pt>
                <c:pt idx="50">
                  <c:v>571.248</c:v>
                </c:pt>
                <c:pt idx="51">
                  <c:v>571.248</c:v>
                </c:pt>
                <c:pt idx="52">
                  <c:v>571.248</c:v>
                </c:pt>
                <c:pt idx="53">
                  <c:v>571.248</c:v>
                </c:pt>
                <c:pt idx="54">
                  <c:v>2422.896</c:v>
                </c:pt>
                <c:pt idx="55">
                  <c:v>2422.896</c:v>
                </c:pt>
                <c:pt idx="56">
                  <c:v>2422.896</c:v>
                </c:pt>
                <c:pt idx="57">
                  <c:v>2422.896</c:v>
                </c:pt>
                <c:pt idx="58">
                  <c:v>2422.896</c:v>
                </c:pt>
                <c:pt idx="59">
                  <c:v>2422.896</c:v>
                </c:pt>
                <c:pt idx="60">
                  <c:v>2422.896</c:v>
                </c:pt>
                <c:pt idx="61">
                  <c:v>2422.896</c:v>
                </c:pt>
                <c:pt idx="62">
                  <c:v>2422.896</c:v>
                </c:pt>
                <c:pt idx="63">
                  <c:v>2422.896</c:v>
                </c:pt>
                <c:pt idx="64">
                  <c:v>2422.896</c:v>
                </c:pt>
                <c:pt idx="65">
                  <c:v>2422.896</c:v>
                </c:pt>
                <c:pt idx="66">
                  <c:v>2422.896</c:v>
                </c:pt>
                <c:pt idx="67">
                  <c:v>2422.896</c:v>
                </c:pt>
                <c:pt idx="68">
                  <c:v>2422.896</c:v>
                </c:pt>
                <c:pt idx="69">
                  <c:v>2422.896</c:v>
                </c:pt>
              </c:numCache>
            </c:numRef>
          </c:xVal>
          <c:yVal>
            <c:numRef>
              <c:f>Datos_Individuales!$G$401:$G$470</c:f>
              <c:numCache>
                <c:formatCode>0.000</c:formatCode>
                <c:ptCount val="70"/>
                <c:pt idx="3">
                  <c:v>0.534</c:v>
                </c:pt>
                <c:pt idx="6">
                  <c:v>0.725</c:v>
                </c:pt>
                <c:pt idx="7">
                  <c:v>1.7</c:v>
                </c:pt>
                <c:pt idx="9">
                  <c:v>0.463</c:v>
                </c:pt>
                <c:pt idx="14">
                  <c:v>0.754</c:v>
                </c:pt>
                <c:pt idx="21">
                  <c:v>0.61</c:v>
                </c:pt>
                <c:pt idx="23">
                  <c:v>0.25</c:v>
                </c:pt>
                <c:pt idx="24">
                  <c:v>0.51</c:v>
                </c:pt>
                <c:pt idx="25">
                  <c:v>1.7</c:v>
                </c:pt>
                <c:pt idx="27">
                  <c:v>0.461</c:v>
                </c:pt>
                <c:pt idx="32">
                  <c:v>0.486</c:v>
                </c:pt>
                <c:pt idx="39">
                  <c:v>0.545</c:v>
                </c:pt>
                <c:pt idx="42">
                  <c:v>0.662</c:v>
                </c:pt>
                <c:pt idx="43">
                  <c:v>2.7</c:v>
                </c:pt>
                <c:pt idx="45">
                  <c:v>0.463</c:v>
                </c:pt>
                <c:pt idx="50">
                  <c:v>0.552</c:v>
                </c:pt>
                <c:pt idx="57">
                  <c:v>0.697</c:v>
                </c:pt>
                <c:pt idx="59">
                  <c:v>0.679</c:v>
                </c:pt>
                <c:pt idx="60">
                  <c:v>1.9</c:v>
                </c:pt>
                <c:pt idx="62">
                  <c:v>0.52</c:v>
                </c:pt>
                <c:pt idx="67">
                  <c:v>0.952</c:v>
                </c:pt>
              </c:numCache>
            </c:numRef>
          </c:yVal>
          <c:smooth val="1"/>
        </c:ser>
        <c:axId val="13603571"/>
        <c:axId val="91000456"/>
      </c:scatterChart>
      <c:valAx>
        <c:axId val="1360357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00456"/>
        <c:crosses val="autoZero"/>
        <c:crossBetween val="midCat"/>
      </c:valAx>
      <c:valAx>
        <c:axId val="910004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0357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RIOFRÍO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Datos_Individuales!$H$401:$H$470</c:f>
              <c:numCache>
                <c:formatCode>#,##0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71.406</c:v>
                </c:pt>
                <c:pt idx="37">
                  <c:v>71.406</c:v>
                </c:pt>
                <c:pt idx="38">
                  <c:v>71.406</c:v>
                </c:pt>
                <c:pt idx="39">
                  <c:v>71.406</c:v>
                </c:pt>
                <c:pt idx="40">
                  <c:v>71.406</c:v>
                </c:pt>
                <c:pt idx="41">
                  <c:v>71.406</c:v>
                </c:pt>
                <c:pt idx="42">
                  <c:v>71.406</c:v>
                </c:pt>
                <c:pt idx="43">
                  <c:v>71.406</c:v>
                </c:pt>
                <c:pt idx="44">
                  <c:v>71.406</c:v>
                </c:pt>
                <c:pt idx="45">
                  <c:v>71.406</c:v>
                </c:pt>
                <c:pt idx="46">
                  <c:v>71.406</c:v>
                </c:pt>
                <c:pt idx="47">
                  <c:v>71.406</c:v>
                </c:pt>
                <c:pt idx="48">
                  <c:v>71.406</c:v>
                </c:pt>
                <c:pt idx="49">
                  <c:v>71.406</c:v>
                </c:pt>
                <c:pt idx="50">
                  <c:v>71.406</c:v>
                </c:pt>
                <c:pt idx="51">
                  <c:v>71.406</c:v>
                </c:pt>
                <c:pt idx="52">
                  <c:v>71.406</c:v>
                </c:pt>
                <c:pt idx="53">
                  <c:v>71.406</c:v>
                </c:pt>
                <c:pt idx="54">
                  <c:v>302.862</c:v>
                </c:pt>
                <c:pt idx="55">
                  <c:v>302.862</c:v>
                </c:pt>
                <c:pt idx="56">
                  <c:v>302.862</c:v>
                </c:pt>
                <c:pt idx="57">
                  <c:v>302.862</c:v>
                </c:pt>
                <c:pt idx="58">
                  <c:v>302.862</c:v>
                </c:pt>
                <c:pt idx="59">
                  <c:v>302.862</c:v>
                </c:pt>
                <c:pt idx="60">
                  <c:v>302.862</c:v>
                </c:pt>
                <c:pt idx="61">
                  <c:v>302.862</c:v>
                </c:pt>
                <c:pt idx="62">
                  <c:v>302.862</c:v>
                </c:pt>
                <c:pt idx="63">
                  <c:v>302.862</c:v>
                </c:pt>
                <c:pt idx="64">
                  <c:v>302.862</c:v>
                </c:pt>
                <c:pt idx="65">
                  <c:v>302.862</c:v>
                </c:pt>
                <c:pt idx="66">
                  <c:v>302.862</c:v>
                </c:pt>
                <c:pt idx="67">
                  <c:v>302.862</c:v>
                </c:pt>
                <c:pt idx="68">
                  <c:v>302.862</c:v>
                </c:pt>
                <c:pt idx="69">
                  <c:v>302.862</c:v>
                </c:pt>
              </c:numCache>
            </c:numRef>
          </c:xVal>
          <c:yVal>
            <c:numRef>
              <c:f>Datos_Individuales!$I$401:$I$470</c:f>
              <c:numCache>
                <c:formatCode>0.000</c:formatCode>
                <c:ptCount val="70"/>
                <c:pt idx="0">
                  <c:v>0.0662</c:v>
                </c:pt>
                <c:pt idx="1">
                  <c:v>0.0662</c:v>
                </c:pt>
                <c:pt idx="2">
                  <c:v>0.0509</c:v>
                </c:pt>
                <c:pt idx="3">
                  <c:v>0.0946</c:v>
                </c:pt>
                <c:pt idx="4">
                  <c:v>0.113</c:v>
                </c:pt>
                <c:pt idx="5">
                  <c:v>0.0946</c:v>
                </c:pt>
                <c:pt idx="6">
                  <c:v>0.0946</c:v>
                </c:pt>
                <c:pt idx="7">
                  <c:v>0.0946</c:v>
                </c:pt>
                <c:pt idx="8">
                  <c:v>0.0935</c:v>
                </c:pt>
                <c:pt idx="9">
                  <c:v>0.0946</c:v>
                </c:pt>
                <c:pt idx="10">
                  <c:v>0.0935</c:v>
                </c:pt>
                <c:pt idx="11">
                  <c:v>0.0518</c:v>
                </c:pt>
                <c:pt idx="12">
                  <c:v>0.0959</c:v>
                </c:pt>
                <c:pt idx="13">
                  <c:v>0.08</c:v>
                </c:pt>
                <c:pt idx="14">
                  <c:v>0.0959</c:v>
                </c:pt>
                <c:pt idx="15">
                  <c:v>0.0959</c:v>
                </c:pt>
                <c:pt idx="16">
                  <c:v>0.0662</c:v>
                </c:pt>
                <c:pt idx="17">
                  <c:v>0.0662</c:v>
                </c:pt>
                <c:pt idx="18">
                  <c:v>0.0662</c:v>
                </c:pt>
                <c:pt idx="19">
                  <c:v>0.0662</c:v>
                </c:pt>
                <c:pt idx="20">
                  <c:v>0.0509</c:v>
                </c:pt>
                <c:pt idx="21">
                  <c:v>0.0946</c:v>
                </c:pt>
                <c:pt idx="22">
                  <c:v>0.09</c:v>
                </c:pt>
                <c:pt idx="23">
                  <c:v>0.0946</c:v>
                </c:pt>
                <c:pt idx="24">
                  <c:v>0.0946</c:v>
                </c:pt>
                <c:pt idx="25">
                  <c:v>0.0946</c:v>
                </c:pt>
                <c:pt idx="26">
                  <c:v>0.0935</c:v>
                </c:pt>
                <c:pt idx="27">
                  <c:v>0.0946</c:v>
                </c:pt>
                <c:pt idx="28">
                  <c:v>0.0935</c:v>
                </c:pt>
                <c:pt idx="29">
                  <c:v>0.397</c:v>
                </c:pt>
                <c:pt idx="30">
                  <c:v>0.0959</c:v>
                </c:pt>
                <c:pt idx="31">
                  <c:v>0.06</c:v>
                </c:pt>
                <c:pt idx="32">
                  <c:v>0.0959</c:v>
                </c:pt>
                <c:pt idx="33">
                  <c:v>0.0959</c:v>
                </c:pt>
                <c:pt idx="34">
                  <c:v>0.0662</c:v>
                </c:pt>
                <c:pt idx="35">
                  <c:v>0.0662</c:v>
                </c:pt>
                <c:pt idx="36">
                  <c:v>0.0662</c:v>
                </c:pt>
                <c:pt idx="37">
                  <c:v>0.0662</c:v>
                </c:pt>
                <c:pt idx="38">
                  <c:v>0.0509</c:v>
                </c:pt>
                <c:pt idx="39">
                  <c:v>0.0946</c:v>
                </c:pt>
                <c:pt idx="40">
                  <c:v>0.0662</c:v>
                </c:pt>
                <c:pt idx="41">
                  <c:v>0.0946</c:v>
                </c:pt>
                <c:pt idx="42">
                  <c:v>0.0946</c:v>
                </c:pt>
                <c:pt idx="43">
                  <c:v>0.0946</c:v>
                </c:pt>
                <c:pt idx="44">
                  <c:v>0.0935</c:v>
                </c:pt>
                <c:pt idx="45">
                  <c:v>0.0946</c:v>
                </c:pt>
                <c:pt idx="46">
                  <c:v>0.0935</c:v>
                </c:pt>
                <c:pt idx="47">
                  <c:v>0.141</c:v>
                </c:pt>
                <c:pt idx="48">
                  <c:v>0.0959</c:v>
                </c:pt>
                <c:pt idx="49">
                  <c:v>0.0509</c:v>
                </c:pt>
                <c:pt idx="50">
                  <c:v>0.0959</c:v>
                </c:pt>
                <c:pt idx="51">
                  <c:v>0.0959</c:v>
                </c:pt>
                <c:pt idx="52">
                  <c:v>0.0662</c:v>
                </c:pt>
                <c:pt idx="53">
                  <c:v>0.0662</c:v>
                </c:pt>
                <c:pt idx="54">
                  <c:v>0.0662</c:v>
                </c:pt>
                <c:pt idx="55">
                  <c:v>0.0662</c:v>
                </c:pt>
                <c:pt idx="56">
                  <c:v>0.0509</c:v>
                </c:pt>
                <c:pt idx="57">
                  <c:v>0.0946</c:v>
                </c:pt>
                <c:pt idx="58">
                  <c:v>0.0946</c:v>
                </c:pt>
                <c:pt idx="59">
                  <c:v>0.0946</c:v>
                </c:pt>
                <c:pt idx="60">
                  <c:v>0.0946</c:v>
                </c:pt>
                <c:pt idx="61">
                  <c:v>0.0935</c:v>
                </c:pt>
                <c:pt idx="62">
                  <c:v>0.0946</c:v>
                </c:pt>
                <c:pt idx="63">
                  <c:v>0.0935</c:v>
                </c:pt>
                <c:pt idx="64">
                  <c:v>0.0972</c:v>
                </c:pt>
                <c:pt idx="65">
                  <c:v>0.0959</c:v>
                </c:pt>
                <c:pt idx="66">
                  <c:v>0.06</c:v>
                </c:pt>
                <c:pt idx="67">
                  <c:v>0.0959</c:v>
                </c:pt>
                <c:pt idx="68">
                  <c:v>0.0959</c:v>
                </c:pt>
                <c:pt idx="69">
                  <c:v>0.0662</c:v>
                </c:pt>
              </c:numCache>
            </c:numRef>
          </c:yVal>
          <c:smooth val="1"/>
        </c:ser>
        <c:axId val="25493312"/>
        <c:axId val="58294116"/>
      </c:scatterChart>
      <c:valAx>
        <c:axId val="2549331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94116"/>
        <c:crosses val="autoZero"/>
        <c:crossBetween val="midCat"/>
      </c:valAx>
      <c:valAx>
        <c:axId val="58294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933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TULUÁ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Datos_Individuales!$F$471:$F$540</c:f>
              <c:numCache>
                <c:formatCode>#,##0</c:formatCode>
                <c:ptCount val="70"/>
                <c:pt idx="0">
                  <c:v>288.912</c:v>
                </c:pt>
                <c:pt idx="1">
                  <c:v>288.912</c:v>
                </c:pt>
                <c:pt idx="2">
                  <c:v>288.912</c:v>
                </c:pt>
                <c:pt idx="3">
                  <c:v>288.912</c:v>
                </c:pt>
                <c:pt idx="4">
                  <c:v>288.912</c:v>
                </c:pt>
                <c:pt idx="5">
                  <c:v>288.912</c:v>
                </c:pt>
                <c:pt idx="6">
                  <c:v>288.912</c:v>
                </c:pt>
                <c:pt idx="7">
                  <c:v>288.912</c:v>
                </c:pt>
                <c:pt idx="8">
                  <c:v>288.912</c:v>
                </c:pt>
                <c:pt idx="9">
                  <c:v>288.912</c:v>
                </c:pt>
                <c:pt idx="10">
                  <c:v>288.912</c:v>
                </c:pt>
                <c:pt idx="11">
                  <c:v>288.912</c:v>
                </c:pt>
                <c:pt idx="12">
                  <c:v>288.912</c:v>
                </c:pt>
                <c:pt idx="13">
                  <c:v>288.912</c:v>
                </c:pt>
                <c:pt idx="14">
                  <c:v>288.912</c:v>
                </c:pt>
                <c:pt idx="15">
                  <c:v>288.912</c:v>
                </c:pt>
                <c:pt idx="16">
                  <c:v>288.912</c:v>
                </c:pt>
                <c:pt idx="17">
                  <c:v>288.912</c:v>
                </c:pt>
                <c:pt idx="18">
                  <c:v>288.912</c:v>
                </c:pt>
                <c:pt idx="19">
                  <c:v>289.392</c:v>
                </c:pt>
                <c:pt idx="20">
                  <c:v>289.392</c:v>
                </c:pt>
                <c:pt idx="21">
                  <c:v>289.392</c:v>
                </c:pt>
                <c:pt idx="22">
                  <c:v>289.392</c:v>
                </c:pt>
                <c:pt idx="23">
                  <c:v>289.392</c:v>
                </c:pt>
                <c:pt idx="24">
                  <c:v>289.392</c:v>
                </c:pt>
                <c:pt idx="25">
                  <c:v>289.392</c:v>
                </c:pt>
                <c:pt idx="26">
                  <c:v>289.392</c:v>
                </c:pt>
                <c:pt idx="27">
                  <c:v>289.392</c:v>
                </c:pt>
                <c:pt idx="28">
                  <c:v>289.392</c:v>
                </c:pt>
                <c:pt idx="29">
                  <c:v>289.392</c:v>
                </c:pt>
                <c:pt idx="30">
                  <c:v>289.392</c:v>
                </c:pt>
                <c:pt idx="31">
                  <c:v>289.392</c:v>
                </c:pt>
                <c:pt idx="32">
                  <c:v>289.392</c:v>
                </c:pt>
                <c:pt idx="33">
                  <c:v>289.392</c:v>
                </c:pt>
                <c:pt idx="34">
                  <c:v>289.392</c:v>
                </c:pt>
                <c:pt idx="35">
                  <c:v>289.392</c:v>
                </c:pt>
                <c:pt idx="36">
                  <c:v>289.392</c:v>
                </c:pt>
                <c:pt idx="37">
                  <c:v>289.392</c:v>
                </c:pt>
                <c:pt idx="38">
                  <c:v>289.44</c:v>
                </c:pt>
                <c:pt idx="39">
                  <c:v>289.44</c:v>
                </c:pt>
                <c:pt idx="40">
                  <c:v>289.44</c:v>
                </c:pt>
                <c:pt idx="41">
                  <c:v>289.44</c:v>
                </c:pt>
                <c:pt idx="42">
                  <c:v>289.44</c:v>
                </c:pt>
                <c:pt idx="43">
                  <c:v>289.44</c:v>
                </c:pt>
                <c:pt idx="44">
                  <c:v>289.44</c:v>
                </c:pt>
                <c:pt idx="45">
                  <c:v>289.44</c:v>
                </c:pt>
                <c:pt idx="46">
                  <c:v>289.44</c:v>
                </c:pt>
                <c:pt idx="47">
                  <c:v>289.44</c:v>
                </c:pt>
                <c:pt idx="48">
                  <c:v>289.44</c:v>
                </c:pt>
                <c:pt idx="49">
                  <c:v>289.44</c:v>
                </c:pt>
                <c:pt idx="50">
                  <c:v>289.44</c:v>
                </c:pt>
                <c:pt idx="51">
                  <c:v>289.44</c:v>
                </c:pt>
                <c:pt idx="52">
                  <c:v>289.44</c:v>
                </c:pt>
                <c:pt idx="53">
                  <c:v>289.44</c:v>
                </c:pt>
                <c:pt idx="54">
                  <c:v>289.44</c:v>
                </c:pt>
                <c:pt idx="55">
                  <c:v>289.44</c:v>
                </c:pt>
                <c:pt idx="56">
                  <c:v>289.44</c:v>
                </c:pt>
                <c:pt idx="57">
                  <c:v>3030.24</c:v>
                </c:pt>
                <c:pt idx="58">
                  <c:v>3030.24</c:v>
                </c:pt>
                <c:pt idx="59">
                  <c:v>3030.24</c:v>
                </c:pt>
                <c:pt idx="60">
                  <c:v>3030.24</c:v>
                </c:pt>
                <c:pt idx="61">
                  <c:v>3030.24</c:v>
                </c:pt>
                <c:pt idx="62">
                  <c:v>3030.24</c:v>
                </c:pt>
                <c:pt idx="63">
                  <c:v>3030.24</c:v>
                </c:pt>
                <c:pt idx="64">
                  <c:v>3030.24</c:v>
                </c:pt>
                <c:pt idx="65">
                  <c:v>3030.24</c:v>
                </c:pt>
                <c:pt idx="66">
                  <c:v>3030.24</c:v>
                </c:pt>
                <c:pt idx="67">
                  <c:v>3030.24</c:v>
                </c:pt>
                <c:pt idx="68">
                  <c:v>3030.24</c:v>
                </c:pt>
                <c:pt idx="69">
                  <c:v>3030.24</c:v>
                </c:pt>
              </c:numCache>
            </c:numRef>
          </c:xVal>
          <c:yVal>
            <c:numRef>
              <c:f>Datos_Individuales!$G$471:$G$540</c:f>
              <c:numCache>
                <c:formatCode>0.000</c:formatCode>
                <c:ptCount val="70"/>
                <c:pt idx="0">
                  <c:v>0.5</c:v>
                </c:pt>
                <c:pt idx="1">
                  <c:v>0.644</c:v>
                </c:pt>
                <c:pt idx="2">
                  <c:v>0.644</c:v>
                </c:pt>
                <c:pt idx="6">
                  <c:v>0.84</c:v>
                </c:pt>
                <c:pt idx="10">
                  <c:v>2.51</c:v>
                </c:pt>
                <c:pt idx="12">
                  <c:v>2.56</c:v>
                </c:pt>
                <c:pt idx="13">
                  <c:v>1.32</c:v>
                </c:pt>
                <c:pt idx="16">
                  <c:v>0.325</c:v>
                </c:pt>
                <c:pt idx="17">
                  <c:v>0.325</c:v>
                </c:pt>
                <c:pt idx="19">
                  <c:v>0.811</c:v>
                </c:pt>
                <c:pt idx="20">
                  <c:v>0.514</c:v>
                </c:pt>
                <c:pt idx="21">
                  <c:v>0.514</c:v>
                </c:pt>
                <c:pt idx="25">
                  <c:v>0.463</c:v>
                </c:pt>
                <c:pt idx="29">
                  <c:v>3.35</c:v>
                </c:pt>
                <c:pt idx="31">
                  <c:v>2.51</c:v>
                </c:pt>
                <c:pt idx="32">
                  <c:v>0.463</c:v>
                </c:pt>
                <c:pt idx="35">
                  <c:v>0.921</c:v>
                </c:pt>
                <c:pt idx="36">
                  <c:v>0.921</c:v>
                </c:pt>
                <c:pt idx="38">
                  <c:v>10.8</c:v>
                </c:pt>
                <c:pt idx="39">
                  <c:v>1.04</c:v>
                </c:pt>
                <c:pt idx="40">
                  <c:v>1.04</c:v>
                </c:pt>
                <c:pt idx="44">
                  <c:v>0.463</c:v>
                </c:pt>
                <c:pt idx="48">
                  <c:v>2.35</c:v>
                </c:pt>
                <c:pt idx="50">
                  <c:v>2.42</c:v>
                </c:pt>
                <c:pt idx="51">
                  <c:v>2.22</c:v>
                </c:pt>
                <c:pt idx="54">
                  <c:v>0.752</c:v>
                </c:pt>
                <c:pt idx="55">
                  <c:v>0.752</c:v>
                </c:pt>
                <c:pt idx="57">
                  <c:v>3.54</c:v>
                </c:pt>
                <c:pt idx="61">
                  <c:v>6.14</c:v>
                </c:pt>
                <c:pt idx="64">
                  <c:v>8.05</c:v>
                </c:pt>
                <c:pt idx="66">
                  <c:v>5.2</c:v>
                </c:pt>
                <c:pt idx="67">
                  <c:v>3.62</c:v>
                </c:pt>
              </c:numCache>
            </c:numRef>
          </c:yVal>
          <c:smooth val="1"/>
        </c:ser>
        <c:axId val="57854886"/>
        <c:axId val="26504528"/>
      </c:scatterChart>
      <c:valAx>
        <c:axId val="5785488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04528"/>
        <c:crosses val="autoZero"/>
        <c:crossBetween val="midCat"/>
      </c:valAx>
      <c:valAx>
        <c:axId val="265045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5488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TULUÁ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Datos_Individuales!$H$471:$H$540</c:f>
              <c:numCache>
                <c:formatCode>#,##0</c:formatCode>
                <c:ptCount val="70"/>
                <c:pt idx="0">
                  <c:v>36.114</c:v>
                </c:pt>
                <c:pt idx="1">
                  <c:v>36.114</c:v>
                </c:pt>
                <c:pt idx="2">
                  <c:v>36.114</c:v>
                </c:pt>
                <c:pt idx="3">
                  <c:v>36.114</c:v>
                </c:pt>
                <c:pt idx="4">
                  <c:v>36.114</c:v>
                </c:pt>
                <c:pt idx="5">
                  <c:v>36.114</c:v>
                </c:pt>
                <c:pt idx="6">
                  <c:v>36.114</c:v>
                </c:pt>
                <c:pt idx="7">
                  <c:v>36.114</c:v>
                </c:pt>
                <c:pt idx="8">
                  <c:v>36.114</c:v>
                </c:pt>
                <c:pt idx="9">
                  <c:v>36.114</c:v>
                </c:pt>
                <c:pt idx="10">
                  <c:v>36.114</c:v>
                </c:pt>
                <c:pt idx="11">
                  <c:v>36.114</c:v>
                </c:pt>
                <c:pt idx="12">
                  <c:v>36.114</c:v>
                </c:pt>
                <c:pt idx="13">
                  <c:v>36.114</c:v>
                </c:pt>
                <c:pt idx="14">
                  <c:v>36.114</c:v>
                </c:pt>
                <c:pt idx="15">
                  <c:v>36.114</c:v>
                </c:pt>
                <c:pt idx="16">
                  <c:v>36.114</c:v>
                </c:pt>
                <c:pt idx="17">
                  <c:v>36.114</c:v>
                </c:pt>
                <c:pt idx="18">
                  <c:v>36.114</c:v>
                </c:pt>
                <c:pt idx="19">
                  <c:v>36.174</c:v>
                </c:pt>
                <c:pt idx="20">
                  <c:v>36.174</c:v>
                </c:pt>
                <c:pt idx="21">
                  <c:v>36.174</c:v>
                </c:pt>
                <c:pt idx="22">
                  <c:v>36.174</c:v>
                </c:pt>
                <c:pt idx="23">
                  <c:v>36.174</c:v>
                </c:pt>
                <c:pt idx="24">
                  <c:v>36.174</c:v>
                </c:pt>
                <c:pt idx="25">
                  <c:v>36.174</c:v>
                </c:pt>
                <c:pt idx="26">
                  <c:v>36.174</c:v>
                </c:pt>
                <c:pt idx="27">
                  <c:v>36.174</c:v>
                </c:pt>
                <c:pt idx="28">
                  <c:v>36.174</c:v>
                </c:pt>
                <c:pt idx="29">
                  <c:v>36.174</c:v>
                </c:pt>
                <c:pt idx="30">
                  <c:v>36.174</c:v>
                </c:pt>
                <c:pt idx="31">
                  <c:v>36.174</c:v>
                </c:pt>
                <c:pt idx="32">
                  <c:v>36.174</c:v>
                </c:pt>
                <c:pt idx="33">
                  <c:v>36.174</c:v>
                </c:pt>
                <c:pt idx="34">
                  <c:v>36.174</c:v>
                </c:pt>
                <c:pt idx="35">
                  <c:v>36.174</c:v>
                </c:pt>
                <c:pt idx="36">
                  <c:v>36.174</c:v>
                </c:pt>
                <c:pt idx="37">
                  <c:v>36.174</c:v>
                </c:pt>
                <c:pt idx="38">
                  <c:v>36.18</c:v>
                </c:pt>
                <c:pt idx="39">
                  <c:v>36.18</c:v>
                </c:pt>
                <c:pt idx="40">
                  <c:v>36.18</c:v>
                </c:pt>
                <c:pt idx="41">
                  <c:v>36.18</c:v>
                </c:pt>
                <c:pt idx="42">
                  <c:v>36.18</c:v>
                </c:pt>
                <c:pt idx="43">
                  <c:v>36.18</c:v>
                </c:pt>
                <c:pt idx="44">
                  <c:v>36.18</c:v>
                </c:pt>
                <c:pt idx="45">
                  <c:v>36.18</c:v>
                </c:pt>
                <c:pt idx="46">
                  <c:v>36.18</c:v>
                </c:pt>
                <c:pt idx="47">
                  <c:v>36.18</c:v>
                </c:pt>
                <c:pt idx="48">
                  <c:v>36.18</c:v>
                </c:pt>
                <c:pt idx="49">
                  <c:v>36.18</c:v>
                </c:pt>
                <c:pt idx="50">
                  <c:v>36.18</c:v>
                </c:pt>
                <c:pt idx="51">
                  <c:v>36.18</c:v>
                </c:pt>
                <c:pt idx="52">
                  <c:v>36.18</c:v>
                </c:pt>
                <c:pt idx="53">
                  <c:v>36.18</c:v>
                </c:pt>
                <c:pt idx="54">
                  <c:v>36.18</c:v>
                </c:pt>
                <c:pt idx="55">
                  <c:v>36.18</c:v>
                </c:pt>
                <c:pt idx="56">
                  <c:v>36.18</c:v>
                </c:pt>
                <c:pt idx="57">
                  <c:v>378.78</c:v>
                </c:pt>
                <c:pt idx="58">
                  <c:v>378.78</c:v>
                </c:pt>
                <c:pt idx="59">
                  <c:v>378.78</c:v>
                </c:pt>
                <c:pt idx="60">
                  <c:v>378.78</c:v>
                </c:pt>
                <c:pt idx="61">
                  <c:v>378.78</c:v>
                </c:pt>
                <c:pt idx="62">
                  <c:v>378.78</c:v>
                </c:pt>
                <c:pt idx="63">
                  <c:v>378.78</c:v>
                </c:pt>
                <c:pt idx="64">
                  <c:v>378.78</c:v>
                </c:pt>
                <c:pt idx="65">
                  <c:v>378.78</c:v>
                </c:pt>
                <c:pt idx="66">
                  <c:v>378.78</c:v>
                </c:pt>
                <c:pt idx="67">
                  <c:v>378.78</c:v>
                </c:pt>
                <c:pt idx="68">
                  <c:v>378.78</c:v>
                </c:pt>
                <c:pt idx="69">
                  <c:v>378.78</c:v>
                </c:pt>
              </c:numCache>
            </c:numRef>
          </c:xVal>
          <c:yVal>
            <c:numRef>
              <c:f>Datos_Individuales!$I$471:$I$540</c:f>
              <c:numCache>
                <c:formatCode>0.000</c:formatCode>
                <c:ptCount val="70"/>
                <c:pt idx="0">
                  <c:v>0.199</c:v>
                </c:pt>
                <c:pt idx="1">
                  <c:v>0.0959</c:v>
                </c:pt>
                <c:pt idx="2">
                  <c:v>0.0959</c:v>
                </c:pt>
                <c:pt idx="3">
                  <c:v>0.138</c:v>
                </c:pt>
                <c:pt idx="4">
                  <c:v>0.0662</c:v>
                </c:pt>
                <c:pt idx="5">
                  <c:v>0.0935</c:v>
                </c:pt>
                <c:pt idx="6">
                  <c:v>0.0946</c:v>
                </c:pt>
                <c:pt idx="7">
                  <c:v>0.0946</c:v>
                </c:pt>
                <c:pt idx="8">
                  <c:v>0.0946</c:v>
                </c:pt>
                <c:pt idx="9">
                  <c:v>0.0662</c:v>
                </c:pt>
                <c:pt idx="10">
                  <c:v>0.0946</c:v>
                </c:pt>
                <c:pt idx="11">
                  <c:v>0.05</c:v>
                </c:pt>
                <c:pt idx="12">
                  <c:v>0.0509</c:v>
                </c:pt>
                <c:pt idx="13">
                  <c:v>0.146</c:v>
                </c:pt>
                <c:pt idx="14">
                  <c:v>0.0959</c:v>
                </c:pt>
                <c:pt idx="15">
                  <c:v>0.354</c:v>
                </c:pt>
                <c:pt idx="16">
                  <c:v>0.0959</c:v>
                </c:pt>
                <c:pt idx="17">
                  <c:v>0.0959</c:v>
                </c:pt>
                <c:pt idx="18">
                  <c:v>0.0935</c:v>
                </c:pt>
                <c:pt idx="19">
                  <c:v>0.178</c:v>
                </c:pt>
                <c:pt idx="20">
                  <c:v>0.0959</c:v>
                </c:pt>
                <c:pt idx="21">
                  <c:v>0.0959</c:v>
                </c:pt>
                <c:pt idx="22">
                  <c:v>0.0688</c:v>
                </c:pt>
                <c:pt idx="23">
                  <c:v>0.0662</c:v>
                </c:pt>
                <c:pt idx="24">
                  <c:v>1.58</c:v>
                </c:pt>
                <c:pt idx="25">
                  <c:v>0.0946</c:v>
                </c:pt>
                <c:pt idx="26">
                  <c:v>0.26</c:v>
                </c:pt>
                <c:pt idx="27">
                  <c:v>0.0946</c:v>
                </c:pt>
                <c:pt idx="28">
                  <c:v>0.0662</c:v>
                </c:pt>
                <c:pt idx="29">
                  <c:v>0.166</c:v>
                </c:pt>
                <c:pt idx="30">
                  <c:v>0.0509</c:v>
                </c:pt>
                <c:pt idx="31">
                  <c:v>0.0509</c:v>
                </c:pt>
                <c:pt idx="32">
                  <c:v>0.132</c:v>
                </c:pt>
                <c:pt idx="33">
                  <c:v>0.0959</c:v>
                </c:pt>
                <c:pt idx="34">
                  <c:v>0.491</c:v>
                </c:pt>
                <c:pt idx="35">
                  <c:v>0.0959</c:v>
                </c:pt>
                <c:pt idx="36">
                  <c:v>0.0959</c:v>
                </c:pt>
                <c:pt idx="37">
                  <c:v>0.226</c:v>
                </c:pt>
                <c:pt idx="38">
                  <c:v>0.711</c:v>
                </c:pt>
                <c:pt idx="39">
                  <c:v>0.0959</c:v>
                </c:pt>
                <c:pt idx="40">
                  <c:v>0.0959</c:v>
                </c:pt>
                <c:pt idx="41">
                  <c:v>0.0521</c:v>
                </c:pt>
                <c:pt idx="42">
                  <c:v>0.0662</c:v>
                </c:pt>
                <c:pt idx="43">
                  <c:v>0.0935</c:v>
                </c:pt>
                <c:pt idx="44">
                  <c:v>0.0946</c:v>
                </c:pt>
                <c:pt idx="45">
                  <c:v>0.238</c:v>
                </c:pt>
                <c:pt idx="46">
                  <c:v>0.0946</c:v>
                </c:pt>
                <c:pt idx="47">
                  <c:v>0.0662</c:v>
                </c:pt>
                <c:pt idx="48">
                  <c:v>0.115</c:v>
                </c:pt>
                <c:pt idx="49">
                  <c:v>0.07</c:v>
                </c:pt>
                <c:pt idx="50">
                  <c:v>0.082</c:v>
                </c:pt>
                <c:pt idx="51">
                  <c:v>0.236</c:v>
                </c:pt>
                <c:pt idx="52">
                  <c:v>0.0959</c:v>
                </c:pt>
                <c:pt idx="53">
                  <c:v>0.206</c:v>
                </c:pt>
                <c:pt idx="54">
                  <c:v>0.0959</c:v>
                </c:pt>
                <c:pt idx="55">
                  <c:v>0.0959</c:v>
                </c:pt>
                <c:pt idx="56">
                  <c:v>0.173</c:v>
                </c:pt>
                <c:pt idx="57">
                  <c:v>0.445</c:v>
                </c:pt>
                <c:pt idx="58">
                  <c:v>2.02</c:v>
                </c:pt>
                <c:pt idx="59">
                  <c:v>0.0662</c:v>
                </c:pt>
                <c:pt idx="60">
                  <c:v>0.448</c:v>
                </c:pt>
                <c:pt idx="61">
                  <c:v>0.444</c:v>
                </c:pt>
                <c:pt idx="62">
                  <c:v>0.728</c:v>
                </c:pt>
                <c:pt idx="63">
                  <c:v>0.404</c:v>
                </c:pt>
                <c:pt idx="64">
                  <c:v>0.67</c:v>
                </c:pt>
                <c:pt idx="65">
                  <c:v>3.73</c:v>
                </c:pt>
                <c:pt idx="66">
                  <c:v>0.259</c:v>
                </c:pt>
                <c:pt idx="67">
                  <c:v>0.572</c:v>
                </c:pt>
                <c:pt idx="68">
                  <c:v>0.436</c:v>
                </c:pt>
                <c:pt idx="69">
                  <c:v>0.213</c:v>
                </c:pt>
              </c:numCache>
            </c:numRef>
          </c:yVal>
          <c:smooth val="1"/>
        </c:ser>
        <c:axId val="23890402"/>
        <c:axId val="99419183"/>
      </c:scatterChart>
      <c:valAx>
        <c:axId val="2389040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19183"/>
        <c:crosses val="autoZero"/>
        <c:crossBetween val="midCat"/>
      </c:valAx>
      <c:valAx>
        <c:axId val="994191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904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BUGALAGRANDE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Datos_Individuales!$F$541:$F$594</c:f>
              <c:numCache>
                <c:formatCode>#,##0</c:formatCode>
                <c:ptCount val="54"/>
                <c:pt idx="0">
                  <c:v>386.256</c:v>
                </c:pt>
                <c:pt idx="1">
                  <c:v>386.256</c:v>
                </c:pt>
                <c:pt idx="2">
                  <c:v>386.256</c:v>
                </c:pt>
                <c:pt idx="3">
                  <c:v>386.256</c:v>
                </c:pt>
                <c:pt idx="4">
                  <c:v>386.256</c:v>
                </c:pt>
                <c:pt idx="5">
                  <c:v>386.256</c:v>
                </c:pt>
                <c:pt idx="6">
                  <c:v>386.256</c:v>
                </c:pt>
                <c:pt idx="7">
                  <c:v>386.256</c:v>
                </c:pt>
                <c:pt idx="8">
                  <c:v>386.256</c:v>
                </c:pt>
                <c:pt idx="9">
                  <c:v>386.256</c:v>
                </c:pt>
                <c:pt idx="10">
                  <c:v>386.256</c:v>
                </c:pt>
                <c:pt idx="11">
                  <c:v>386.256</c:v>
                </c:pt>
                <c:pt idx="12">
                  <c:v>386.256</c:v>
                </c:pt>
                <c:pt idx="13">
                  <c:v>386.256</c:v>
                </c:pt>
                <c:pt idx="14">
                  <c:v>386.256</c:v>
                </c:pt>
                <c:pt idx="15">
                  <c:v>386.256</c:v>
                </c:pt>
                <c:pt idx="16">
                  <c:v>386.256</c:v>
                </c:pt>
                <c:pt idx="17">
                  <c:v>386.256</c:v>
                </c:pt>
                <c:pt idx="18">
                  <c:v>546.528</c:v>
                </c:pt>
                <c:pt idx="19">
                  <c:v>546.528</c:v>
                </c:pt>
                <c:pt idx="20">
                  <c:v>546.528</c:v>
                </c:pt>
                <c:pt idx="21">
                  <c:v>546.528</c:v>
                </c:pt>
                <c:pt idx="22">
                  <c:v>546.528</c:v>
                </c:pt>
                <c:pt idx="23">
                  <c:v>546.528</c:v>
                </c:pt>
                <c:pt idx="24">
                  <c:v>546.528</c:v>
                </c:pt>
                <c:pt idx="25">
                  <c:v>546.528</c:v>
                </c:pt>
                <c:pt idx="26">
                  <c:v>546.528</c:v>
                </c:pt>
                <c:pt idx="27">
                  <c:v>546.528</c:v>
                </c:pt>
                <c:pt idx="28">
                  <c:v>546.528</c:v>
                </c:pt>
                <c:pt idx="29">
                  <c:v>546.528</c:v>
                </c:pt>
                <c:pt idx="30">
                  <c:v>546.528</c:v>
                </c:pt>
                <c:pt idx="31">
                  <c:v>546.528</c:v>
                </c:pt>
                <c:pt idx="32">
                  <c:v>546.528</c:v>
                </c:pt>
                <c:pt idx="33">
                  <c:v>546.528</c:v>
                </c:pt>
                <c:pt idx="34">
                  <c:v>546.528</c:v>
                </c:pt>
                <c:pt idx="35">
                  <c:v>546.528</c:v>
                </c:pt>
                <c:pt idx="36">
                  <c:v>6156.384</c:v>
                </c:pt>
                <c:pt idx="37">
                  <c:v>6156.384</c:v>
                </c:pt>
                <c:pt idx="38">
                  <c:v>6156.384</c:v>
                </c:pt>
                <c:pt idx="39">
                  <c:v>6156.384</c:v>
                </c:pt>
                <c:pt idx="40">
                  <c:v>6156.384</c:v>
                </c:pt>
                <c:pt idx="41">
                  <c:v>6156.384</c:v>
                </c:pt>
                <c:pt idx="42">
                  <c:v>6156.384</c:v>
                </c:pt>
                <c:pt idx="43">
                  <c:v>6156.384</c:v>
                </c:pt>
                <c:pt idx="44">
                  <c:v>6156.384</c:v>
                </c:pt>
                <c:pt idx="45">
                  <c:v>6156.384</c:v>
                </c:pt>
                <c:pt idx="46">
                  <c:v>6156.384</c:v>
                </c:pt>
                <c:pt idx="47">
                  <c:v>6156.384</c:v>
                </c:pt>
                <c:pt idx="48">
                  <c:v>6156.384</c:v>
                </c:pt>
                <c:pt idx="49">
                  <c:v>6156.384</c:v>
                </c:pt>
                <c:pt idx="50">
                  <c:v>6156.384</c:v>
                </c:pt>
                <c:pt idx="51">
                  <c:v>6156.384</c:v>
                </c:pt>
                <c:pt idx="52">
                  <c:v>6156.384</c:v>
                </c:pt>
                <c:pt idx="53">
                  <c:v>6156.384</c:v>
                </c:pt>
              </c:numCache>
            </c:numRef>
          </c:xVal>
          <c:yVal>
            <c:numRef>
              <c:f>Datos_Individuales!$G$541:$G$594</c:f>
              <c:numCache>
                <c:formatCode>0.000</c:formatCode>
                <c:ptCount val="54"/>
                <c:pt idx="0">
                  <c:v>6.56</c:v>
                </c:pt>
                <c:pt idx="1">
                  <c:v>0.463</c:v>
                </c:pt>
                <c:pt idx="3">
                  <c:v>0.605</c:v>
                </c:pt>
                <c:pt idx="5">
                  <c:v>1.28</c:v>
                </c:pt>
                <c:pt idx="8">
                  <c:v>0.5</c:v>
                </c:pt>
                <c:pt idx="11">
                  <c:v>2.64</c:v>
                </c:pt>
                <c:pt idx="14">
                  <c:v>0.463</c:v>
                </c:pt>
                <c:pt idx="18">
                  <c:v>5.92</c:v>
                </c:pt>
                <c:pt idx="19">
                  <c:v>0.463</c:v>
                </c:pt>
                <c:pt idx="21">
                  <c:v>0.589</c:v>
                </c:pt>
                <c:pt idx="23">
                  <c:v>0.981</c:v>
                </c:pt>
                <c:pt idx="26">
                  <c:v>0.5</c:v>
                </c:pt>
                <c:pt idx="29">
                  <c:v>2.21</c:v>
                </c:pt>
                <c:pt idx="32">
                  <c:v>0.463</c:v>
                </c:pt>
                <c:pt idx="36">
                  <c:v>7.92</c:v>
                </c:pt>
                <c:pt idx="37">
                  <c:v>0.808</c:v>
                </c:pt>
                <c:pt idx="39">
                  <c:v>0.625</c:v>
                </c:pt>
                <c:pt idx="41">
                  <c:v>1.19</c:v>
                </c:pt>
                <c:pt idx="44">
                  <c:v>1.26</c:v>
                </c:pt>
                <c:pt idx="47">
                  <c:v>2.33</c:v>
                </c:pt>
                <c:pt idx="50">
                  <c:v>0.916</c:v>
                </c:pt>
              </c:numCache>
            </c:numRef>
          </c:yVal>
          <c:smooth val="1"/>
        </c:ser>
        <c:axId val="35029923"/>
        <c:axId val="65094424"/>
      </c:scatterChart>
      <c:valAx>
        <c:axId val="350299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94424"/>
        <c:crosses val="autoZero"/>
        <c:crossBetween val="midCat"/>
      </c:valAx>
      <c:valAx>
        <c:axId val="65094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299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BUGALAGRANDE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Datos_Individuales!$H$541:$H$594</c:f>
              <c:numCache>
                <c:formatCode>#,##0</c:formatCode>
                <c:ptCount val="54"/>
                <c:pt idx="0">
                  <c:v>48.282</c:v>
                </c:pt>
                <c:pt idx="1">
                  <c:v>48.282</c:v>
                </c:pt>
                <c:pt idx="2">
                  <c:v>48.282</c:v>
                </c:pt>
                <c:pt idx="3">
                  <c:v>48.282</c:v>
                </c:pt>
                <c:pt idx="4">
                  <c:v>48.282</c:v>
                </c:pt>
                <c:pt idx="5">
                  <c:v>48.282</c:v>
                </c:pt>
                <c:pt idx="6">
                  <c:v>48.282</c:v>
                </c:pt>
                <c:pt idx="7">
                  <c:v>48.282</c:v>
                </c:pt>
                <c:pt idx="8">
                  <c:v>48.282</c:v>
                </c:pt>
                <c:pt idx="9">
                  <c:v>48.282</c:v>
                </c:pt>
                <c:pt idx="10">
                  <c:v>48.282</c:v>
                </c:pt>
                <c:pt idx="11">
                  <c:v>48.282</c:v>
                </c:pt>
                <c:pt idx="12">
                  <c:v>48.282</c:v>
                </c:pt>
                <c:pt idx="13">
                  <c:v>48.282</c:v>
                </c:pt>
                <c:pt idx="14">
                  <c:v>48.282</c:v>
                </c:pt>
                <c:pt idx="15">
                  <c:v>48.282</c:v>
                </c:pt>
                <c:pt idx="16">
                  <c:v>48.282</c:v>
                </c:pt>
                <c:pt idx="17">
                  <c:v>48.282</c:v>
                </c:pt>
                <c:pt idx="18">
                  <c:v>68.316</c:v>
                </c:pt>
                <c:pt idx="19">
                  <c:v>68.316</c:v>
                </c:pt>
                <c:pt idx="20">
                  <c:v>68.316</c:v>
                </c:pt>
                <c:pt idx="21">
                  <c:v>68.316</c:v>
                </c:pt>
                <c:pt idx="22">
                  <c:v>68.316</c:v>
                </c:pt>
                <c:pt idx="23">
                  <c:v>68.316</c:v>
                </c:pt>
                <c:pt idx="24">
                  <c:v>68.316</c:v>
                </c:pt>
                <c:pt idx="25">
                  <c:v>68.316</c:v>
                </c:pt>
                <c:pt idx="26">
                  <c:v>68.316</c:v>
                </c:pt>
                <c:pt idx="27">
                  <c:v>68.316</c:v>
                </c:pt>
                <c:pt idx="28">
                  <c:v>68.316</c:v>
                </c:pt>
                <c:pt idx="29">
                  <c:v>68.316</c:v>
                </c:pt>
                <c:pt idx="30">
                  <c:v>68.316</c:v>
                </c:pt>
                <c:pt idx="31">
                  <c:v>68.316</c:v>
                </c:pt>
                <c:pt idx="32">
                  <c:v>68.316</c:v>
                </c:pt>
                <c:pt idx="33">
                  <c:v>68.316</c:v>
                </c:pt>
                <c:pt idx="34">
                  <c:v>68.316</c:v>
                </c:pt>
                <c:pt idx="35">
                  <c:v>68.316</c:v>
                </c:pt>
                <c:pt idx="36">
                  <c:v>769.548</c:v>
                </c:pt>
                <c:pt idx="37">
                  <c:v>769.548</c:v>
                </c:pt>
                <c:pt idx="38">
                  <c:v>769.548</c:v>
                </c:pt>
                <c:pt idx="39">
                  <c:v>769.548</c:v>
                </c:pt>
                <c:pt idx="40">
                  <c:v>769.548</c:v>
                </c:pt>
                <c:pt idx="41">
                  <c:v>769.548</c:v>
                </c:pt>
                <c:pt idx="42">
                  <c:v>769.548</c:v>
                </c:pt>
                <c:pt idx="43">
                  <c:v>769.548</c:v>
                </c:pt>
                <c:pt idx="44">
                  <c:v>769.548</c:v>
                </c:pt>
                <c:pt idx="45">
                  <c:v>769.548</c:v>
                </c:pt>
                <c:pt idx="46">
                  <c:v>769.548</c:v>
                </c:pt>
                <c:pt idx="47">
                  <c:v>769.548</c:v>
                </c:pt>
                <c:pt idx="48">
                  <c:v>769.548</c:v>
                </c:pt>
                <c:pt idx="49">
                  <c:v>769.548</c:v>
                </c:pt>
                <c:pt idx="50">
                  <c:v>769.548</c:v>
                </c:pt>
                <c:pt idx="51">
                  <c:v>769.548</c:v>
                </c:pt>
                <c:pt idx="52">
                  <c:v>769.548</c:v>
                </c:pt>
                <c:pt idx="53">
                  <c:v>769.548</c:v>
                </c:pt>
              </c:numCache>
            </c:numRef>
          </c:xVal>
          <c:yVal>
            <c:numRef>
              <c:f>Datos_Individuales!$I$541:$I$594</c:f>
              <c:numCache>
                <c:formatCode>0.000</c:formatCode>
                <c:ptCount val="54"/>
                <c:pt idx="0">
                  <c:v>0.133</c:v>
                </c:pt>
                <c:pt idx="1">
                  <c:v>0.0946</c:v>
                </c:pt>
                <c:pt idx="2">
                  <c:v>0.245</c:v>
                </c:pt>
                <c:pt idx="3">
                  <c:v>0.0959</c:v>
                </c:pt>
                <c:pt idx="4">
                  <c:v>0.0662</c:v>
                </c:pt>
                <c:pt idx="5">
                  <c:v>0.0946</c:v>
                </c:pt>
                <c:pt idx="6">
                  <c:v>0.0662</c:v>
                </c:pt>
                <c:pt idx="7">
                  <c:v>0.0935</c:v>
                </c:pt>
                <c:pt idx="8">
                  <c:v>0.0959</c:v>
                </c:pt>
                <c:pt idx="9">
                  <c:v>0.0959</c:v>
                </c:pt>
                <c:pt idx="10">
                  <c:v>0.09</c:v>
                </c:pt>
                <c:pt idx="11">
                  <c:v>0.12</c:v>
                </c:pt>
                <c:pt idx="12">
                  <c:v>0.0662</c:v>
                </c:pt>
                <c:pt idx="13">
                  <c:v>0.0946</c:v>
                </c:pt>
                <c:pt idx="14">
                  <c:v>0.0946</c:v>
                </c:pt>
                <c:pt idx="15">
                  <c:v>0.0662</c:v>
                </c:pt>
                <c:pt idx="16">
                  <c:v>0.0946</c:v>
                </c:pt>
                <c:pt idx="17">
                  <c:v>0.207</c:v>
                </c:pt>
                <c:pt idx="18">
                  <c:v>0.212</c:v>
                </c:pt>
                <c:pt idx="19">
                  <c:v>0.0946</c:v>
                </c:pt>
                <c:pt idx="20">
                  <c:v>0.0509</c:v>
                </c:pt>
                <c:pt idx="21">
                  <c:v>0.0959</c:v>
                </c:pt>
                <c:pt idx="22">
                  <c:v>0.0662</c:v>
                </c:pt>
                <c:pt idx="23">
                  <c:v>0.0946</c:v>
                </c:pt>
                <c:pt idx="24">
                  <c:v>0.0662</c:v>
                </c:pt>
                <c:pt idx="25">
                  <c:v>0.0935</c:v>
                </c:pt>
                <c:pt idx="26">
                  <c:v>0.0959</c:v>
                </c:pt>
                <c:pt idx="27">
                  <c:v>0.124</c:v>
                </c:pt>
                <c:pt idx="28">
                  <c:v>0.06</c:v>
                </c:pt>
                <c:pt idx="29">
                  <c:v>0.0509</c:v>
                </c:pt>
                <c:pt idx="30">
                  <c:v>0.0662</c:v>
                </c:pt>
                <c:pt idx="31">
                  <c:v>0.0946</c:v>
                </c:pt>
                <c:pt idx="32">
                  <c:v>0.0946</c:v>
                </c:pt>
                <c:pt idx="33">
                  <c:v>0.072</c:v>
                </c:pt>
                <c:pt idx="34">
                  <c:v>0.0946</c:v>
                </c:pt>
                <c:pt idx="35">
                  <c:v>0.163</c:v>
                </c:pt>
                <c:pt idx="36">
                  <c:v>0.207</c:v>
                </c:pt>
                <c:pt idx="37">
                  <c:v>0.0946</c:v>
                </c:pt>
                <c:pt idx="38">
                  <c:v>0.232</c:v>
                </c:pt>
                <c:pt idx="39">
                  <c:v>0.0959</c:v>
                </c:pt>
                <c:pt idx="40">
                  <c:v>0.112</c:v>
                </c:pt>
                <c:pt idx="41">
                  <c:v>0.322</c:v>
                </c:pt>
                <c:pt idx="42">
                  <c:v>0.074</c:v>
                </c:pt>
                <c:pt idx="43">
                  <c:v>0.0935</c:v>
                </c:pt>
                <c:pt idx="44">
                  <c:v>0.0959</c:v>
                </c:pt>
                <c:pt idx="45">
                  <c:v>0.0959</c:v>
                </c:pt>
                <c:pt idx="46">
                  <c:v>0.15</c:v>
                </c:pt>
                <c:pt idx="47">
                  <c:v>0.0509</c:v>
                </c:pt>
                <c:pt idx="48">
                  <c:v>0.07</c:v>
                </c:pt>
                <c:pt idx="49">
                  <c:v>0.0946</c:v>
                </c:pt>
                <c:pt idx="50">
                  <c:v>0.0946</c:v>
                </c:pt>
                <c:pt idx="51">
                  <c:v>0.136</c:v>
                </c:pt>
                <c:pt idx="52">
                  <c:v>0.0946</c:v>
                </c:pt>
                <c:pt idx="53">
                  <c:v>0.193</c:v>
                </c:pt>
              </c:numCache>
            </c:numRef>
          </c:yVal>
          <c:smooth val="1"/>
        </c:ser>
        <c:axId val="82473367"/>
        <c:axId val="74212309"/>
      </c:scatterChart>
      <c:valAx>
        <c:axId val="8247336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12309"/>
        <c:crosses val="autoZero"/>
        <c:crossBetween val="midCat"/>
      </c:valAx>
      <c:valAx>
        <c:axId val="742123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7336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PAILA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Datos_Individuales!$F$595:$F$648</c:f>
              <c:numCache>
                <c:formatCode>#,##0</c:formatCode>
                <c:ptCount val="54"/>
                <c:pt idx="0">
                  <c:v>260.208</c:v>
                </c:pt>
                <c:pt idx="1">
                  <c:v>260.208</c:v>
                </c:pt>
                <c:pt idx="2">
                  <c:v>260.208</c:v>
                </c:pt>
                <c:pt idx="3">
                  <c:v>260.208</c:v>
                </c:pt>
                <c:pt idx="4">
                  <c:v>260.208</c:v>
                </c:pt>
                <c:pt idx="5">
                  <c:v>260.208</c:v>
                </c:pt>
                <c:pt idx="6">
                  <c:v>260.208</c:v>
                </c:pt>
                <c:pt idx="7">
                  <c:v>260.208</c:v>
                </c:pt>
                <c:pt idx="8">
                  <c:v>260.208</c:v>
                </c:pt>
                <c:pt idx="9">
                  <c:v>260.208</c:v>
                </c:pt>
                <c:pt idx="10">
                  <c:v>260.208</c:v>
                </c:pt>
                <c:pt idx="11">
                  <c:v>260.208</c:v>
                </c:pt>
                <c:pt idx="12">
                  <c:v>260.208</c:v>
                </c:pt>
                <c:pt idx="13">
                  <c:v>260.208</c:v>
                </c:pt>
                <c:pt idx="14">
                  <c:v>260.208</c:v>
                </c:pt>
                <c:pt idx="15">
                  <c:v>260.208</c:v>
                </c:pt>
                <c:pt idx="16">
                  <c:v>260.208</c:v>
                </c:pt>
                <c:pt idx="17">
                  <c:v>260.208</c:v>
                </c:pt>
                <c:pt idx="18">
                  <c:v>260.208</c:v>
                </c:pt>
                <c:pt idx="19">
                  <c:v>276.528</c:v>
                </c:pt>
                <c:pt idx="20">
                  <c:v>276.528</c:v>
                </c:pt>
                <c:pt idx="21">
                  <c:v>276.528</c:v>
                </c:pt>
                <c:pt idx="22">
                  <c:v>276.528</c:v>
                </c:pt>
                <c:pt idx="23">
                  <c:v>276.528</c:v>
                </c:pt>
                <c:pt idx="24">
                  <c:v>276.528</c:v>
                </c:pt>
                <c:pt idx="25">
                  <c:v>276.528</c:v>
                </c:pt>
                <c:pt idx="26">
                  <c:v>276.528</c:v>
                </c:pt>
                <c:pt idx="27">
                  <c:v>276.528</c:v>
                </c:pt>
                <c:pt idx="28">
                  <c:v>276.528</c:v>
                </c:pt>
                <c:pt idx="29">
                  <c:v>276.528</c:v>
                </c:pt>
                <c:pt idx="30">
                  <c:v>276.528</c:v>
                </c:pt>
                <c:pt idx="31">
                  <c:v>276.528</c:v>
                </c:pt>
                <c:pt idx="32">
                  <c:v>276.528</c:v>
                </c:pt>
                <c:pt idx="33">
                  <c:v>276.528</c:v>
                </c:pt>
                <c:pt idx="34">
                  <c:v>276.528</c:v>
                </c:pt>
                <c:pt idx="35">
                  <c:v>276.528</c:v>
                </c:pt>
                <c:pt idx="36">
                  <c:v>276.528</c:v>
                </c:pt>
                <c:pt idx="37">
                  <c:v>6906.768</c:v>
                </c:pt>
                <c:pt idx="38">
                  <c:v>6906.768</c:v>
                </c:pt>
                <c:pt idx="39">
                  <c:v>6906.768</c:v>
                </c:pt>
                <c:pt idx="40">
                  <c:v>6906.768</c:v>
                </c:pt>
                <c:pt idx="41">
                  <c:v>6906.768</c:v>
                </c:pt>
                <c:pt idx="42">
                  <c:v>6906.768</c:v>
                </c:pt>
                <c:pt idx="43">
                  <c:v>6906.768</c:v>
                </c:pt>
                <c:pt idx="44">
                  <c:v>6906.768</c:v>
                </c:pt>
                <c:pt idx="45">
                  <c:v>6906.768</c:v>
                </c:pt>
                <c:pt idx="46">
                  <c:v>6906.768</c:v>
                </c:pt>
                <c:pt idx="47">
                  <c:v>6906.768</c:v>
                </c:pt>
                <c:pt idx="48">
                  <c:v>6906.768</c:v>
                </c:pt>
                <c:pt idx="49">
                  <c:v>6906.768</c:v>
                </c:pt>
                <c:pt idx="50">
                  <c:v>6906.768</c:v>
                </c:pt>
                <c:pt idx="51">
                  <c:v>6906.768</c:v>
                </c:pt>
                <c:pt idx="52">
                  <c:v>6906.768</c:v>
                </c:pt>
                <c:pt idx="53">
                  <c:v>6906.768</c:v>
                </c:pt>
              </c:numCache>
            </c:numRef>
          </c:xVal>
          <c:yVal>
            <c:numRef>
              <c:f>Datos_Individuales!$G$595:$G$648</c:f>
              <c:numCache>
                <c:formatCode>0.000</c:formatCode>
                <c:ptCount val="54"/>
                <c:pt idx="0">
                  <c:v>2.65</c:v>
                </c:pt>
                <c:pt idx="2">
                  <c:v>0.528</c:v>
                </c:pt>
                <c:pt idx="4">
                  <c:v>0.419</c:v>
                </c:pt>
                <c:pt idx="5">
                  <c:v>0.463</c:v>
                </c:pt>
                <c:pt idx="9">
                  <c:v>2.02</c:v>
                </c:pt>
                <c:pt idx="16">
                  <c:v>1.56</c:v>
                </c:pt>
                <c:pt idx="19">
                  <c:v>2.06</c:v>
                </c:pt>
                <c:pt idx="21">
                  <c:v>0.937</c:v>
                </c:pt>
                <c:pt idx="23">
                  <c:v>1.35</c:v>
                </c:pt>
                <c:pt idx="24">
                  <c:v>1.02</c:v>
                </c:pt>
                <c:pt idx="28">
                  <c:v>2.34</c:v>
                </c:pt>
                <c:pt idx="34">
                  <c:v>2.29</c:v>
                </c:pt>
                <c:pt idx="37">
                  <c:v>3.02</c:v>
                </c:pt>
                <c:pt idx="39">
                  <c:v>2.62</c:v>
                </c:pt>
                <c:pt idx="41">
                  <c:v>1.32</c:v>
                </c:pt>
                <c:pt idx="42">
                  <c:v>2.69</c:v>
                </c:pt>
                <c:pt idx="46">
                  <c:v>1.45</c:v>
                </c:pt>
                <c:pt idx="51">
                  <c:v>2.12</c:v>
                </c:pt>
              </c:numCache>
            </c:numRef>
          </c:yVal>
          <c:smooth val="1"/>
        </c:ser>
        <c:axId val="90018787"/>
        <c:axId val="98812328"/>
      </c:scatterChart>
      <c:valAx>
        <c:axId val="9001878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12328"/>
        <c:crosses val="autoZero"/>
        <c:crossBetween val="midCat"/>
      </c:valAx>
      <c:valAx>
        <c:axId val="988123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187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 PAILA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Datos_Individuales!$H$595:$H$648</c:f>
              <c:numCache>
                <c:formatCode>#,##0</c:formatCode>
                <c:ptCount val="54"/>
                <c:pt idx="0">
                  <c:v>32.526</c:v>
                </c:pt>
                <c:pt idx="1">
                  <c:v>32.526</c:v>
                </c:pt>
                <c:pt idx="2">
                  <c:v>32.526</c:v>
                </c:pt>
                <c:pt idx="3">
                  <c:v>32.526</c:v>
                </c:pt>
                <c:pt idx="4">
                  <c:v>32.526</c:v>
                </c:pt>
                <c:pt idx="5">
                  <c:v>32.526</c:v>
                </c:pt>
                <c:pt idx="6">
                  <c:v>32.526</c:v>
                </c:pt>
                <c:pt idx="7">
                  <c:v>32.526</c:v>
                </c:pt>
                <c:pt idx="8">
                  <c:v>32.526</c:v>
                </c:pt>
                <c:pt idx="9">
                  <c:v>32.526</c:v>
                </c:pt>
                <c:pt idx="10">
                  <c:v>32.526</c:v>
                </c:pt>
                <c:pt idx="11">
                  <c:v>32.526</c:v>
                </c:pt>
                <c:pt idx="12">
                  <c:v>32.526</c:v>
                </c:pt>
                <c:pt idx="13">
                  <c:v>32.526</c:v>
                </c:pt>
                <c:pt idx="14">
                  <c:v>32.526</c:v>
                </c:pt>
                <c:pt idx="15">
                  <c:v>32.526</c:v>
                </c:pt>
                <c:pt idx="16">
                  <c:v>32.526</c:v>
                </c:pt>
                <c:pt idx="17">
                  <c:v>32.526</c:v>
                </c:pt>
                <c:pt idx="18">
                  <c:v>32.526</c:v>
                </c:pt>
                <c:pt idx="19">
                  <c:v>34.566</c:v>
                </c:pt>
                <c:pt idx="20">
                  <c:v>34.566</c:v>
                </c:pt>
                <c:pt idx="21">
                  <c:v>34.566</c:v>
                </c:pt>
                <c:pt idx="22">
                  <c:v>34.566</c:v>
                </c:pt>
                <c:pt idx="23">
                  <c:v>34.566</c:v>
                </c:pt>
                <c:pt idx="24">
                  <c:v>34.566</c:v>
                </c:pt>
                <c:pt idx="25">
                  <c:v>34.566</c:v>
                </c:pt>
                <c:pt idx="26">
                  <c:v>34.566</c:v>
                </c:pt>
                <c:pt idx="27">
                  <c:v>34.566</c:v>
                </c:pt>
                <c:pt idx="28">
                  <c:v>34.566</c:v>
                </c:pt>
                <c:pt idx="29">
                  <c:v>34.566</c:v>
                </c:pt>
                <c:pt idx="30">
                  <c:v>34.566</c:v>
                </c:pt>
                <c:pt idx="31">
                  <c:v>34.566</c:v>
                </c:pt>
                <c:pt idx="32">
                  <c:v>34.566</c:v>
                </c:pt>
                <c:pt idx="33">
                  <c:v>34.566</c:v>
                </c:pt>
                <c:pt idx="34">
                  <c:v>34.566</c:v>
                </c:pt>
                <c:pt idx="35">
                  <c:v>34.566</c:v>
                </c:pt>
                <c:pt idx="36">
                  <c:v>34.566</c:v>
                </c:pt>
                <c:pt idx="37">
                  <c:v>863.346</c:v>
                </c:pt>
                <c:pt idx="38">
                  <c:v>863.346</c:v>
                </c:pt>
                <c:pt idx="39">
                  <c:v>863.346</c:v>
                </c:pt>
                <c:pt idx="40">
                  <c:v>863.346</c:v>
                </c:pt>
                <c:pt idx="41">
                  <c:v>863.346</c:v>
                </c:pt>
                <c:pt idx="42">
                  <c:v>863.346</c:v>
                </c:pt>
                <c:pt idx="43">
                  <c:v>863.346</c:v>
                </c:pt>
                <c:pt idx="44">
                  <c:v>863.346</c:v>
                </c:pt>
                <c:pt idx="45">
                  <c:v>863.346</c:v>
                </c:pt>
                <c:pt idx="46">
                  <c:v>863.346</c:v>
                </c:pt>
                <c:pt idx="47">
                  <c:v>863.346</c:v>
                </c:pt>
                <c:pt idx="48">
                  <c:v>863.346</c:v>
                </c:pt>
                <c:pt idx="49">
                  <c:v>863.346</c:v>
                </c:pt>
                <c:pt idx="50">
                  <c:v>863.346</c:v>
                </c:pt>
                <c:pt idx="51">
                  <c:v>863.346</c:v>
                </c:pt>
                <c:pt idx="52">
                  <c:v>863.346</c:v>
                </c:pt>
                <c:pt idx="53">
                  <c:v>863.346</c:v>
                </c:pt>
              </c:numCache>
            </c:numRef>
          </c:xVal>
          <c:yVal>
            <c:numRef>
              <c:f>Datos_Individuales!$I$595:$I$648</c:f>
              <c:numCache>
                <c:formatCode>0.000</c:formatCode>
                <c:ptCount val="54"/>
                <c:pt idx="0">
                  <c:v>0.0509</c:v>
                </c:pt>
                <c:pt idx="1">
                  <c:v>0.0907</c:v>
                </c:pt>
                <c:pt idx="2">
                  <c:v>0.0946</c:v>
                </c:pt>
                <c:pt idx="3">
                  <c:v>0.07</c:v>
                </c:pt>
                <c:pt idx="4">
                  <c:v>0.0946</c:v>
                </c:pt>
                <c:pt idx="5">
                  <c:v>0.0946</c:v>
                </c:pt>
                <c:pt idx="6">
                  <c:v>0.0662</c:v>
                </c:pt>
                <c:pt idx="7">
                  <c:v>0.0935</c:v>
                </c:pt>
                <c:pt idx="8">
                  <c:v>0.0959</c:v>
                </c:pt>
                <c:pt idx="9">
                  <c:v>0.205</c:v>
                </c:pt>
                <c:pt idx="10">
                  <c:v>0.0662</c:v>
                </c:pt>
                <c:pt idx="11">
                  <c:v>0.0935</c:v>
                </c:pt>
                <c:pt idx="12">
                  <c:v>1.5</c:v>
                </c:pt>
                <c:pt idx="13">
                  <c:v>0.272</c:v>
                </c:pt>
                <c:pt idx="14">
                  <c:v>0.0662</c:v>
                </c:pt>
                <c:pt idx="15">
                  <c:v>0.421</c:v>
                </c:pt>
                <c:pt idx="16">
                  <c:v>0.0959</c:v>
                </c:pt>
                <c:pt idx="17">
                  <c:v>0.0959</c:v>
                </c:pt>
                <c:pt idx="18">
                  <c:v>0.0946</c:v>
                </c:pt>
                <c:pt idx="19">
                  <c:v>0.0509</c:v>
                </c:pt>
                <c:pt idx="20">
                  <c:v>0.111</c:v>
                </c:pt>
                <c:pt idx="21">
                  <c:v>0.0946</c:v>
                </c:pt>
                <c:pt idx="22">
                  <c:v>0.0662</c:v>
                </c:pt>
                <c:pt idx="23">
                  <c:v>0.0946</c:v>
                </c:pt>
                <c:pt idx="24">
                  <c:v>0.0946</c:v>
                </c:pt>
                <c:pt idx="25">
                  <c:v>0.0662</c:v>
                </c:pt>
                <c:pt idx="26">
                  <c:v>0.0935</c:v>
                </c:pt>
                <c:pt idx="27">
                  <c:v>0.0959</c:v>
                </c:pt>
                <c:pt idx="28">
                  <c:v>0.118</c:v>
                </c:pt>
                <c:pt idx="29">
                  <c:v>0.0662</c:v>
                </c:pt>
                <c:pt idx="30">
                  <c:v>0.0935</c:v>
                </c:pt>
                <c:pt idx="31">
                  <c:v>0.191</c:v>
                </c:pt>
                <c:pt idx="32">
                  <c:v>0.0662</c:v>
                </c:pt>
                <c:pt idx="33">
                  <c:v>0.406</c:v>
                </c:pt>
                <c:pt idx="34">
                  <c:v>0.0959</c:v>
                </c:pt>
                <c:pt idx="35">
                  <c:v>0.0959</c:v>
                </c:pt>
                <c:pt idx="36">
                  <c:v>0.0946</c:v>
                </c:pt>
                <c:pt idx="37">
                  <c:v>0.174</c:v>
                </c:pt>
                <c:pt idx="38">
                  <c:v>0.52</c:v>
                </c:pt>
                <c:pt idx="39">
                  <c:v>0.412</c:v>
                </c:pt>
                <c:pt idx="40">
                  <c:v>0.75</c:v>
                </c:pt>
                <c:pt idx="41">
                  <c:v>0.467</c:v>
                </c:pt>
                <c:pt idx="42">
                  <c:v>0.64</c:v>
                </c:pt>
                <c:pt idx="43">
                  <c:v>0.49</c:v>
                </c:pt>
                <c:pt idx="44">
                  <c:v>0.393</c:v>
                </c:pt>
                <c:pt idx="45">
                  <c:v>0.0959</c:v>
                </c:pt>
                <c:pt idx="46">
                  <c:v>0.412</c:v>
                </c:pt>
                <c:pt idx="47">
                  <c:v>3.1</c:v>
                </c:pt>
                <c:pt idx="48">
                  <c:v>0.509</c:v>
                </c:pt>
                <c:pt idx="49">
                  <c:v>0.067</c:v>
                </c:pt>
                <c:pt idx="50">
                  <c:v>0.22</c:v>
                </c:pt>
                <c:pt idx="51">
                  <c:v>0.106</c:v>
                </c:pt>
                <c:pt idx="52">
                  <c:v>0.0959</c:v>
                </c:pt>
                <c:pt idx="53">
                  <c:v>0.567</c:v>
                </c:pt>
              </c:numCache>
            </c:numRef>
          </c:yVal>
          <c:smooth val="1"/>
        </c:ser>
        <c:axId val="38772816"/>
        <c:axId val="58103815"/>
      </c:scatterChart>
      <c:valAx>
        <c:axId val="3877281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3815"/>
        <c:crosses val="autoZero"/>
        <c:crossBetween val="midCat"/>
      </c:valAx>
      <c:valAx>
        <c:axId val="581038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728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RISARALDA — N-Total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"N-Total"</c:f>
              <c:strCache>
                <c:ptCount val="1"/>
                <c:pt idx="0">
                  <c:v>N-Total</c:v>
                </c:pt>
              </c:strCache>
            </c:strRef>
          </c:tx>
          <c:spPr>
            <a:solidFill>
              <a:srgbClr val="2a78d6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Datos_Individuales!$F$649</c:f>
              <c:numCache>
                <c:formatCode>#,##0</c:formatCode>
                <c:ptCount val="1"/>
                <c:pt idx="0">
                  <c:v>448.32</c:v>
                </c:pt>
              </c:numCache>
            </c:numRef>
          </c:xVal>
          <c:yVal>
            <c:numRef>
              <c:f>Datos_Individuales!$G$649</c:f>
              <c:numCache>
                <c:formatCode>0.000</c:formatCode>
                <c:ptCount val="1"/>
                <c:pt idx="0">
                  <c:v>5</c:v>
                </c:pt>
              </c:numCache>
            </c:numRef>
          </c:yVal>
          <c:smooth val="1"/>
        </c:ser>
        <c:axId val="3293323"/>
        <c:axId val="24943551"/>
      </c:scatterChart>
      <c:valAx>
        <c:axId val="32933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43551"/>
        <c:crosses val="autoZero"/>
        <c:crossBetween val="midCat"/>
      </c:valAx>
      <c:valAx>
        <c:axId val="249435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33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RISARALDA — P-Total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"P-Total"</c:f>
              <c:strCache>
                <c:ptCount val="1"/>
                <c:pt idx="0">
                  <c:v>P-Total</c:v>
                </c:pt>
              </c:strCache>
            </c:strRef>
          </c:tx>
          <c:spPr>
            <a:solidFill>
              <a:srgbClr val="eb6834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0000"/>
                </a:solidFill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Datos_Individuales!$H$649</c:f>
              <c:numCache>
                <c:formatCode>#,##0</c:formatCode>
                <c:ptCount val="1"/>
                <c:pt idx="0">
                  <c:v>56.04</c:v>
                </c:pt>
              </c:numCache>
            </c:numRef>
          </c:xVal>
          <c:yVal>
            <c:numRef>
              <c:f>Datos_Individuales!$I$649</c:f>
              <c:numCache>
                <c:formatCode>0.000</c:formatCode>
                <c:ptCount val="1"/>
                <c:pt idx="0">
                  <c:v>0.015</c:v>
                </c:pt>
              </c:numCache>
            </c:numRef>
          </c:yVal>
          <c:smooth val="1"/>
        </c:ser>
        <c:axId val="3710523"/>
        <c:axId val="72599384"/>
      </c:scatterChart>
      <c:valAx>
        <c:axId val="371052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Carga de caña acumulada (kg/año)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99384"/>
        <c:crosses val="autoZero"/>
        <c:crossBetween val="midCat"/>
      </c:valAx>
      <c:valAx>
        <c:axId val="725993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P-Total observado (mg/L)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052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23</xdr:row>
      <xdr:rowOff>160560</xdr:rowOff>
    </xdr:from>
    <xdr:to>
      <xdr:col>23</xdr:col>
      <xdr:colOff>284040</xdr:colOff>
      <xdr:row>31</xdr:row>
      <xdr:rowOff>249120</xdr:rowOff>
    </xdr:to>
    <xdr:graphicFrame>
      <xdr:nvGraphicFramePr>
        <xdr:cNvPr id="0" name="Chart 1"/>
        <xdr:cNvGraphicFramePr/>
      </xdr:nvGraphicFramePr>
      <xdr:xfrm>
        <a:off x="15365880" y="52959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0</xdr:colOff>
      <xdr:row>23</xdr:row>
      <xdr:rowOff>160560</xdr:rowOff>
    </xdr:from>
    <xdr:to>
      <xdr:col>33</xdr:col>
      <xdr:colOff>398160</xdr:colOff>
      <xdr:row>31</xdr:row>
      <xdr:rowOff>249120</xdr:rowOff>
    </xdr:to>
    <xdr:graphicFrame>
      <xdr:nvGraphicFramePr>
        <xdr:cNvPr id="1" name="Chart 2"/>
        <xdr:cNvGraphicFramePr/>
      </xdr:nvGraphicFramePr>
      <xdr:xfrm>
        <a:off x="21663720" y="52959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35</xdr:row>
      <xdr:rowOff>160560</xdr:rowOff>
    </xdr:from>
    <xdr:to>
      <xdr:col>23</xdr:col>
      <xdr:colOff>284040</xdr:colOff>
      <xdr:row>43</xdr:row>
      <xdr:rowOff>249120</xdr:rowOff>
    </xdr:to>
    <xdr:graphicFrame>
      <xdr:nvGraphicFramePr>
        <xdr:cNvPr id="2" name="Chart 3"/>
        <xdr:cNvGraphicFramePr/>
      </xdr:nvGraphicFramePr>
      <xdr:xfrm>
        <a:off x="15365880" y="83343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28</xdr:col>
      <xdr:colOff>0</xdr:colOff>
      <xdr:row>35</xdr:row>
      <xdr:rowOff>160560</xdr:rowOff>
    </xdr:from>
    <xdr:to>
      <xdr:col>33</xdr:col>
      <xdr:colOff>398160</xdr:colOff>
      <xdr:row>43</xdr:row>
      <xdr:rowOff>249120</xdr:rowOff>
    </xdr:to>
    <xdr:graphicFrame>
      <xdr:nvGraphicFramePr>
        <xdr:cNvPr id="3" name="Chart 4"/>
        <xdr:cNvGraphicFramePr/>
      </xdr:nvGraphicFramePr>
      <xdr:xfrm>
        <a:off x="21663720" y="83343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0</xdr:colOff>
      <xdr:row>47</xdr:row>
      <xdr:rowOff>160560</xdr:rowOff>
    </xdr:from>
    <xdr:to>
      <xdr:col>23</xdr:col>
      <xdr:colOff>284040</xdr:colOff>
      <xdr:row>56</xdr:row>
      <xdr:rowOff>58680</xdr:rowOff>
    </xdr:to>
    <xdr:graphicFrame>
      <xdr:nvGraphicFramePr>
        <xdr:cNvPr id="4" name="Chart 5"/>
        <xdr:cNvGraphicFramePr/>
      </xdr:nvGraphicFramePr>
      <xdr:xfrm>
        <a:off x="15365880" y="113727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28</xdr:col>
      <xdr:colOff>0</xdr:colOff>
      <xdr:row>47</xdr:row>
      <xdr:rowOff>160560</xdr:rowOff>
    </xdr:from>
    <xdr:to>
      <xdr:col>33</xdr:col>
      <xdr:colOff>398160</xdr:colOff>
      <xdr:row>56</xdr:row>
      <xdr:rowOff>58680</xdr:rowOff>
    </xdr:to>
    <xdr:graphicFrame>
      <xdr:nvGraphicFramePr>
        <xdr:cNvPr id="5" name="Chart 6"/>
        <xdr:cNvGraphicFramePr/>
      </xdr:nvGraphicFramePr>
      <xdr:xfrm>
        <a:off x="21663720" y="113727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0</xdr:colOff>
      <xdr:row>58</xdr:row>
      <xdr:rowOff>160560</xdr:rowOff>
    </xdr:from>
    <xdr:to>
      <xdr:col>23</xdr:col>
      <xdr:colOff>284040</xdr:colOff>
      <xdr:row>65</xdr:row>
      <xdr:rowOff>287280</xdr:rowOff>
    </xdr:to>
    <xdr:graphicFrame>
      <xdr:nvGraphicFramePr>
        <xdr:cNvPr id="6" name="Chart 7"/>
        <xdr:cNvGraphicFramePr/>
      </xdr:nvGraphicFramePr>
      <xdr:xfrm>
        <a:off x="15365880" y="1408752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0</xdr:colOff>
      <xdr:row>58</xdr:row>
      <xdr:rowOff>160560</xdr:rowOff>
    </xdr:from>
    <xdr:to>
      <xdr:col>33</xdr:col>
      <xdr:colOff>398160</xdr:colOff>
      <xdr:row>65</xdr:row>
      <xdr:rowOff>287280</xdr:rowOff>
    </xdr:to>
    <xdr:graphicFrame>
      <xdr:nvGraphicFramePr>
        <xdr:cNvPr id="7" name="Chart 8"/>
        <xdr:cNvGraphicFramePr/>
      </xdr:nvGraphicFramePr>
      <xdr:xfrm>
        <a:off x="21663720" y="1408752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18</xdr:col>
      <xdr:colOff>0</xdr:colOff>
      <xdr:row>75</xdr:row>
      <xdr:rowOff>160560</xdr:rowOff>
    </xdr:from>
    <xdr:to>
      <xdr:col>23</xdr:col>
      <xdr:colOff>284040</xdr:colOff>
      <xdr:row>84</xdr:row>
      <xdr:rowOff>58680</xdr:rowOff>
    </xdr:to>
    <xdr:graphicFrame>
      <xdr:nvGraphicFramePr>
        <xdr:cNvPr id="8" name="Chart 9"/>
        <xdr:cNvGraphicFramePr/>
      </xdr:nvGraphicFramePr>
      <xdr:xfrm>
        <a:off x="15365880" y="1874520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28</xdr:col>
      <xdr:colOff>0</xdr:colOff>
      <xdr:row>75</xdr:row>
      <xdr:rowOff>160560</xdr:rowOff>
    </xdr:from>
    <xdr:to>
      <xdr:col>33</xdr:col>
      <xdr:colOff>398160</xdr:colOff>
      <xdr:row>84</xdr:row>
      <xdr:rowOff>58680</xdr:rowOff>
    </xdr:to>
    <xdr:graphicFrame>
      <xdr:nvGraphicFramePr>
        <xdr:cNvPr id="9" name="Chart 10"/>
        <xdr:cNvGraphicFramePr/>
      </xdr:nvGraphicFramePr>
      <xdr:xfrm>
        <a:off x="21663720" y="1874520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18</xdr:col>
      <xdr:colOff>0</xdr:colOff>
      <xdr:row>86</xdr:row>
      <xdr:rowOff>160920</xdr:rowOff>
    </xdr:from>
    <xdr:to>
      <xdr:col>23</xdr:col>
      <xdr:colOff>284040</xdr:colOff>
      <xdr:row>94</xdr:row>
      <xdr:rowOff>249480</xdr:rowOff>
    </xdr:to>
    <xdr:graphicFrame>
      <xdr:nvGraphicFramePr>
        <xdr:cNvPr id="10" name="Chart 11"/>
        <xdr:cNvGraphicFramePr/>
      </xdr:nvGraphicFramePr>
      <xdr:xfrm>
        <a:off x="15365880" y="214599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28</xdr:col>
      <xdr:colOff>0</xdr:colOff>
      <xdr:row>86</xdr:row>
      <xdr:rowOff>160920</xdr:rowOff>
    </xdr:from>
    <xdr:to>
      <xdr:col>33</xdr:col>
      <xdr:colOff>398160</xdr:colOff>
      <xdr:row>94</xdr:row>
      <xdr:rowOff>249480</xdr:rowOff>
    </xdr:to>
    <xdr:graphicFrame>
      <xdr:nvGraphicFramePr>
        <xdr:cNvPr id="11" name="Chart 12"/>
        <xdr:cNvGraphicFramePr/>
      </xdr:nvGraphicFramePr>
      <xdr:xfrm>
        <a:off x="21663720" y="214599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18</xdr:col>
      <xdr:colOff>0</xdr:colOff>
      <xdr:row>98</xdr:row>
      <xdr:rowOff>160560</xdr:rowOff>
    </xdr:from>
    <xdr:to>
      <xdr:col>23</xdr:col>
      <xdr:colOff>284040</xdr:colOff>
      <xdr:row>108</xdr:row>
      <xdr:rowOff>1440</xdr:rowOff>
    </xdr:to>
    <xdr:graphicFrame>
      <xdr:nvGraphicFramePr>
        <xdr:cNvPr id="12" name="Chart 13"/>
        <xdr:cNvGraphicFramePr/>
      </xdr:nvGraphicFramePr>
      <xdr:xfrm>
        <a:off x="15365880" y="244983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28</xdr:col>
      <xdr:colOff>0</xdr:colOff>
      <xdr:row>98</xdr:row>
      <xdr:rowOff>160560</xdr:rowOff>
    </xdr:from>
    <xdr:to>
      <xdr:col>33</xdr:col>
      <xdr:colOff>398160</xdr:colOff>
      <xdr:row>108</xdr:row>
      <xdr:rowOff>1440</xdr:rowOff>
    </xdr:to>
    <xdr:graphicFrame>
      <xdr:nvGraphicFramePr>
        <xdr:cNvPr id="13" name="Chart 14"/>
        <xdr:cNvGraphicFramePr/>
      </xdr:nvGraphicFramePr>
      <xdr:xfrm>
        <a:off x="21663720" y="2449836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18</xdr:col>
      <xdr:colOff>0</xdr:colOff>
      <xdr:row>108</xdr:row>
      <xdr:rowOff>160560</xdr:rowOff>
    </xdr:from>
    <xdr:to>
      <xdr:col>23</xdr:col>
      <xdr:colOff>284040</xdr:colOff>
      <xdr:row>118</xdr:row>
      <xdr:rowOff>1440</xdr:rowOff>
    </xdr:to>
    <xdr:graphicFrame>
      <xdr:nvGraphicFramePr>
        <xdr:cNvPr id="14" name="Chart 15"/>
        <xdr:cNvGraphicFramePr/>
      </xdr:nvGraphicFramePr>
      <xdr:xfrm>
        <a:off x="15365880" y="2688912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28</xdr:col>
      <xdr:colOff>0</xdr:colOff>
      <xdr:row>108</xdr:row>
      <xdr:rowOff>160560</xdr:rowOff>
    </xdr:from>
    <xdr:to>
      <xdr:col>33</xdr:col>
      <xdr:colOff>398160</xdr:colOff>
      <xdr:row>118</xdr:row>
      <xdr:rowOff>1440</xdr:rowOff>
    </xdr:to>
    <xdr:graphicFrame>
      <xdr:nvGraphicFramePr>
        <xdr:cNvPr id="15" name="Chart 16"/>
        <xdr:cNvGraphicFramePr/>
      </xdr:nvGraphicFramePr>
      <xdr:xfrm>
        <a:off x="21663720" y="2688912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18</xdr:col>
      <xdr:colOff>0</xdr:colOff>
      <xdr:row>118</xdr:row>
      <xdr:rowOff>160560</xdr:rowOff>
    </xdr:from>
    <xdr:to>
      <xdr:col>23</xdr:col>
      <xdr:colOff>284040</xdr:colOff>
      <xdr:row>126</xdr:row>
      <xdr:rowOff>249120</xdr:rowOff>
    </xdr:to>
    <xdr:graphicFrame>
      <xdr:nvGraphicFramePr>
        <xdr:cNvPr id="16" name="Chart 17"/>
        <xdr:cNvGraphicFramePr/>
      </xdr:nvGraphicFramePr>
      <xdr:xfrm>
        <a:off x="15365880" y="292798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28</xdr:col>
      <xdr:colOff>0</xdr:colOff>
      <xdr:row>118</xdr:row>
      <xdr:rowOff>160560</xdr:rowOff>
    </xdr:from>
    <xdr:to>
      <xdr:col>33</xdr:col>
      <xdr:colOff>398160</xdr:colOff>
      <xdr:row>126</xdr:row>
      <xdr:rowOff>249120</xdr:rowOff>
    </xdr:to>
    <xdr:graphicFrame>
      <xdr:nvGraphicFramePr>
        <xdr:cNvPr id="17" name="Chart 18"/>
        <xdr:cNvGraphicFramePr/>
      </xdr:nvGraphicFramePr>
      <xdr:xfrm>
        <a:off x="21663720" y="292798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18</xdr:col>
      <xdr:colOff>0</xdr:colOff>
      <xdr:row>130</xdr:row>
      <xdr:rowOff>160560</xdr:rowOff>
    </xdr:from>
    <xdr:to>
      <xdr:col>23</xdr:col>
      <xdr:colOff>284040</xdr:colOff>
      <xdr:row>138</xdr:row>
      <xdr:rowOff>249120</xdr:rowOff>
    </xdr:to>
    <xdr:graphicFrame>
      <xdr:nvGraphicFramePr>
        <xdr:cNvPr id="18" name="Chart 19"/>
        <xdr:cNvGraphicFramePr/>
      </xdr:nvGraphicFramePr>
      <xdr:xfrm>
        <a:off x="15365880" y="323182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28</xdr:col>
      <xdr:colOff>0</xdr:colOff>
      <xdr:row>130</xdr:row>
      <xdr:rowOff>160560</xdr:rowOff>
    </xdr:from>
    <xdr:to>
      <xdr:col>33</xdr:col>
      <xdr:colOff>398160</xdr:colOff>
      <xdr:row>138</xdr:row>
      <xdr:rowOff>249120</xdr:rowOff>
    </xdr:to>
    <xdr:graphicFrame>
      <xdr:nvGraphicFramePr>
        <xdr:cNvPr id="19" name="Chart 20"/>
        <xdr:cNvGraphicFramePr/>
      </xdr:nvGraphicFramePr>
      <xdr:xfrm>
        <a:off x="21663720" y="323182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18</xdr:col>
      <xdr:colOff>0</xdr:colOff>
      <xdr:row>142</xdr:row>
      <xdr:rowOff>160560</xdr:rowOff>
    </xdr:from>
    <xdr:to>
      <xdr:col>23</xdr:col>
      <xdr:colOff>284040</xdr:colOff>
      <xdr:row>150</xdr:row>
      <xdr:rowOff>96480</xdr:rowOff>
    </xdr:to>
    <xdr:graphicFrame>
      <xdr:nvGraphicFramePr>
        <xdr:cNvPr id="20" name="Chart 21"/>
        <xdr:cNvGraphicFramePr/>
      </xdr:nvGraphicFramePr>
      <xdr:xfrm>
        <a:off x="15365880" y="353566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28</xdr:col>
      <xdr:colOff>0</xdr:colOff>
      <xdr:row>142</xdr:row>
      <xdr:rowOff>160560</xdr:rowOff>
    </xdr:from>
    <xdr:to>
      <xdr:col>33</xdr:col>
      <xdr:colOff>398160</xdr:colOff>
      <xdr:row>150</xdr:row>
      <xdr:rowOff>96480</xdr:rowOff>
    </xdr:to>
    <xdr:graphicFrame>
      <xdr:nvGraphicFramePr>
        <xdr:cNvPr id="21" name="Chart 22"/>
        <xdr:cNvGraphicFramePr/>
      </xdr:nvGraphicFramePr>
      <xdr:xfrm>
        <a:off x="21663720" y="353566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18</xdr:col>
      <xdr:colOff>0</xdr:colOff>
      <xdr:row>155</xdr:row>
      <xdr:rowOff>160560</xdr:rowOff>
    </xdr:from>
    <xdr:to>
      <xdr:col>23</xdr:col>
      <xdr:colOff>284040</xdr:colOff>
      <xdr:row>163</xdr:row>
      <xdr:rowOff>96840</xdr:rowOff>
    </xdr:to>
    <xdr:graphicFrame>
      <xdr:nvGraphicFramePr>
        <xdr:cNvPr id="22" name="Chart 23"/>
        <xdr:cNvGraphicFramePr/>
      </xdr:nvGraphicFramePr>
      <xdr:xfrm>
        <a:off x="15365880" y="387190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28</xdr:col>
      <xdr:colOff>0</xdr:colOff>
      <xdr:row>155</xdr:row>
      <xdr:rowOff>160560</xdr:rowOff>
    </xdr:from>
    <xdr:to>
      <xdr:col>33</xdr:col>
      <xdr:colOff>398160</xdr:colOff>
      <xdr:row>163</xdr:row>
      <xdr:rowOff>96840</xdr:rowOff>
    </xdr:to>
    <xdr:graphicFrame>
      <xdr:nvGraphicFramePr>
        <xdr:cNvPr id="23" name="Chart 24"/>
        <xdr:cNvGraphicFramePr/>
      </xdr:nvGraphicFramePr>
      <xdr:xfrm>
        <a:off x="21663720" y="387190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18</xdr:col>
      <xdr:colOff>0</xdr:colOff>
      <xdr:row>168</xdr:row>
      <xdr:rowOff>160560</xdr:rowOff>
    </xdr:from>
    <xdr:to>
      <xdr:col>23</xdr:col>
      <xdr:colOff>284040</xdr:colOff>
      <xdr:row>176</xdr:row>
      <xdr:rowOff>249120</xdr:rowOff>
    </xdr:to>
    <xdr:graphicFrame>
      <xdr:nvGraphicFramePr>
        <xdr:cNvPr id="24" name="Chart 25"/>
        <xdr:cNvGraphicFramePr/>
      </xdr:nvGraphicFramePr>
      <xdr:xfrm>
        <a:off x="15365880" y="420814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28</xdr:col>
      <xdr:colOff>0</xdr:colOff>
      <xdr:row>168</xdr:row>
      <xdr:rowOff>160560</xdr:rowOff>
    </xdr:from>
    <xdr:to>
      <xdr:col>33</xdr:col>
      <xdr:colOff>398160</xdr:colOff>
      <xdr:row>176</xdr:row>
      <xdr:rowOff>249120</xdr:rowOff>
    </xdr:to>
    <xdr:graphicFrame>
      <xdr:nvGraphicFramePr>
        <xdr:cNvPr id="25" name="Chart 26"/>
        <xdr:cNvGraphicFramePr/>
      </xdr:nvGraphicFramePr>
      <xdr:xfrm>
        <a:off x="21663720" y="420814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18</xdr:col>
      <xdr:colOff>0</xdr:colOff>
      <xdr:row>180</xdr:row>
      <xdr:rowOff>160560</xdr:rowOff>
    </xdr:from>
    <xdr:to>
      <xdr:col>23</xdr:col>
      <xdr:colOff>284040</xdr:colOff>
      <xdr:row>188</xdr:row>
      <xdr:rowOff>249120</xdr:rowOff>
    </xdr:to>
    <xdr:graphicFrame>
      <xdr:nvGraphicFramePr>
        <xdr:cNvPr id="26" name="Chart 27"/>
        <xdr:cNvGraphicFramePr/>
      </xdr:nvGraphicFramePr>
      <xdr:xfrm>
        <a:off x="15365880" y="451198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28</xdr:col>
      <xdr:colOff>0</xdr:colOff>
      <xdr:row>180</xdr:row>
      <xdr:rowOff>160560</xdr:rowOff>
    </xdr:from>
    <xdr:to>
      <xdr:col>33</xdr:col>
      <xdr:colOff>398160</xdr:colOff>
      <xdr:row>188</xdr:row>
      <xdr:rowOff>249120</xdr:rowOff>
    </xdr:to>
    <xdr:graphicFrame>
      <xdr:nvGraphicFramePr>
        <xdr:cNvPr id="27" name="Chart 28"/>
        <xdr:cNvGraphicFramePr/>
      </xdr:nvGraphicFramePr>
      <xdr:xfrm>
        <a:off x="21663720" y="451198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18</xdr:col>
      <xdr:colOff>0</xdr:colOff>
      <xdr:row>192</xdr:row>
      <xdr:rowOff>160560</xdr:rowOff>
    </xdr:from>
    <xdr:to>
      <xdr:col>23</xdr:col>
      <xdr:colOff>284040</xdr:colOff>
      <xdr:row>200</xdr:row>
      <xdr:rowOff>249120</xdr:rowOff>
    </xdr:to>
    <xdr:graphicFrame>
      <xdr:nvGraphicFramePr>
        <xdr:cNvPr id="28" name="Chart 29"/>
        <xdr:cNvGraphicFramePr/>
      </xdr:nvGraphicFramePr>
      <xdr:xfrm>
        <a:off x="15365880" y="481582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28</xdr:col>
      <xdr:colOff>0</xdr:colOff>
      <xdr:row>192</xdr:row>
      <xdr:rowOff>160560</xdr:rowOff>
    </xdr:from>
    <xdr:to>
      <xdr:col>33</xdr:col>
      <xdr:colOff>398160</xdr:colOff>
      <xdr:row>200</xdr:row>
      <xdr:rowOff>249120</xdr:rowOff>
    </xdr:to>
    <xdr:graphicFrame>
      <xdr:nvGraphicFramePr>
        <xdr:cNvPr id="29" name="Chart 30"/>
        <xdr:cNvGraphicFramePr/>
      </xdr:nvGraphicFramePr>
      <xdr:xfrm>
        <a:off x="21663720" y="48158280"/>
        <a:ext cx="3455640" cy="22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7" colorId="64" zoomScale="83" zoomScaleNormal="83" zoomScalePageLayoutView="100" workbookViewId="0">
      <selection pane="topLeft" activeCell="D23" activeCellId="0" sqref="D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5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4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5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27.75" hidden="false" customHeight="true" outlineLevel="0" collapsed="false">
      <c r="A6" s="6" t="s">
        <v>10</v>
      </c>
      <c r="B6" s="7" t="s">
        <v>11</v>
      </c>
      <c r="C6" s="8" t="n">
        <v>3</v>
      </c>
      <c r="D6" s="9" t="n">
        <v>5</v>
      </c>
      <c r="E6" s="8" t="n">
        <v>10</v>
      </c>
      <c r="F6" s="10" t="s">
        <v>12</v>
      </c>
      <c r="G6" s="11" t="s">
        <v>13</v>
      </c>
    </row>
    <row r="7" customFormat="false" ht="27.75" hidden="false" customHeight="true" outlineLevel="0" collapsed="false">
      <c r="A7" s="12" t="s">
        <v>14</v>
      </c>
      <c r="B7" s="13" t="s">
        <v>15</v>
      </c>
      <c r="C7" s="8" t="n">
        <v>1.5</v>
      </c>
      <c r="D7" s="9" t="n">
        <v>5</v>
      </c>
      <c r="E7" s="8" t="n">
        <v>12</v>
      </c>
      <c r="F7" s="14" t="s">
        <v>16</v>
      </c>
      <c r="G7" s="15" t="s">
        <v>17</v>
      </c>
    </row>
    <row r="8" customFormat="false" ht="27.75" hidden="false" customHeight="true" outlineLevel="0" collapsed="false">
      <c r="A8" s="6" t="s">
        <v>18</v>
      </c>
      <c r="B8" s="7" t="s">
        <v>19</v>
      </c>
      <c r="C8" s="8" t="n">
        <v>2</v>
      </c>
      <c r="D8" s="9" t="n">
        <v>5</v>
      </c>
      <c r="E8" s="8" t="n">
        <v>8</v>
      </c>
      <c r="F8" s="10" t="s">
        <v>16</v>
      </c>
      <c r="G8" s="11" t="s">
        <v>20</v>
      </c>
    </row>
    <row r="9" customFormat="false" ht="27.75" hidden="false" customHeight="true" outlineLevel="0" collapsed="false">
      <c r="A9" s="12" t="s">
        <v>21</v>
      </c>
      <c r="B9" s="13" t="s">
        <v>22</v>
      </c>
      <c r="C9" s="8" t="n">
        <v>1</v>
      </c>
      <c r="D9" s="9" t="n">
        <v>4</v>
      </c>
      <c r="E9" s="8" t="n">
        <v>8</v>
      </c>
      <c r="F9" s="14" t="s">
        <v>16</v>
      </c>
      <c r="G9" s="15" t="s">
        <v>23</v>
      </c>
    </row>
    <row r="12" customFormat="false" ht="15" hidden="false" customHeight="true" outlineLevel="0" collapsed="false">
      <c r="A12" s="16" t="s">
        <v>24</v>
      </c>
      <c r="B12" s="16"/>
      <c r="C12" s="16"/>
      <c r="D12" s="16"/>
      <c r="E12" s="16"/>
      <c r="F12" s="16"/>
      <c r="G12" s="16"/>
    </row>
    <row r="13" customFormat="false" ht="14.25" hidden="false" customHeight="true" outlineLevel="0" collapsed="false">
      <c r="A13" s="17" t="s">
        <v>3</v>
      </c>
      <c r="B13" s="17" t="s">
        <v>4</v>
      </c>
      <c r="C13" s="17" t="s">
        <v>5</v>
      </c>
      <c r="D13" s="17" t="s">
        <v>6</v>
      </c>
      <c r="E13" s="17" t="s">
        <v>7</v>
      </c>
      <c r="F13" s="17" t="s">
        <v>8</v>
      </c>
      <c r="G13" s="17" t="s">
        <v>9</v>
      </c>
    </row>
    <row r="14" customFormat="false" ht="27.75" hidden="false" customHeight="true" outlineLevel="0" collapsed="false">
      <c r="A14" s="18" t="s">
        <v>14</v>
      </c>
      <c r="B14" s="7" t="s">
        <v>25</v>
      </c>
      <c r="C14" s="19" t="n">
        <v>0.1</v>
      </c>
      <c r="D14" s="20" t="n">
        <v>0.4</v>
      </c>
      <c r="E14" s="19" t="n">
        <v>0.8</v>
      </c>
      <c r="F14" s="10" t="s">
        <v>16</v>
      </c>
      <c r="G14" s="11" t="s">
        <v>26</v>
      </c>
    </row>
    <row r="15" customFormat="false" ht="27.75" hidden="false" customHeight="true" outlineLevel="0" collapsed="false">
      <c r="A15" s="21" t="s">
        <v>18</v>
      </c>
      <c r="B15" s="22" t="s">
        <v>27</v>
      </c>
      <c r="C15" s="19" t="n">
        <v>0.3</v>
      </c>
      <c r="D15" s="20" t="n">
        <v>0.7</v>
      </c>
      <c r="E15" s="19" t="n">
        <v>1.2</v>
      </c>
      <c r="F15" s="23" t="s">
        <v>16</v>
      </c>
      <c r="G15" s="24" t="s">
        <v>28</v>
      </c>
    </row>
    <row r="16" customFormat="false" ht="27.75" hidden="false" customHeight="true" outlineLevel="0" collapsed="false">
      <c r="A16" s="18" t="s">
        <v>29</v>
      </c>
      <c r="B16" s="7" t="s">
        <v>30</v>
      </c>
      <c r="C16" s="19" t="n">
        <v>0.4</v>
      </c>
      <c r="D16" s="20" t="n">
        <v>0.9</v>
      </c>
      <c r="E16" s="19" t="n">
        <v>1.5</v>
      </c>
      <c r="F16" s="10" t="s">
        <v>16</v>
      </c>
      <c r="G16" s="11" t="s">
        <v>31</v>
      </c>
    </row>
    <row r="17" customFormat="false" ht="27.75" hidden="false" customHeight="true" outlineLevel="0" collapsed="false">
      <c r="A17" s="21" t="s">
        <v>21</v>
      </c>
      <c r="B17" s="22" t="s">
        <v>32</v>
      </c>
      <c r="C17" s="19" t="n">
        <v>0.05</v>
      </c>
      <c r="D17" s="20" t="n">
        <v>0.3</v>
      </c>
      <c r="E17" s="19" t="n">
        <v>0.6</v>
      </c>
      <c r="F17" s="23" t="s">
        <v>16</v>
      </c>
      <c r="G17" s="24" t="s">
        <v>33</v>
      </c>
    </row>
    <row r="20" customFormat="false" ht="15" hidden="false" customHeight="true" outlineLevel="0" collapsed="false">
      <c r="A20" s="25" t="s">
        <v>34</v>
      </c>
      <c r="B20" s="25"/>
      <c r="C20" s="25"/>
      <c r="D20" s="25"/>
      <c r="E20" s="25"/>
      <c r="F20" s="25"/>
      <c r="G20" s="25"/>
    </row>
    <row r="21" customFormat="false" ht="38.25" hidden="false" customHeight="true" outlineLevel="0" collapsed="false">
      <c r="A21" s="26" t="s">
        <v>35</v>
      </c>
      <c r="B21" s="26" t="s">
        <v>36</v>
      </c>
      <c r="C21" s="26" t="s">
        <v>37</v>
      </c>
      <c r="D21" s="26" t="s">
        <v>38</v>
      </c>
      <c r="E21" s="26" t="s">
        <v>39</v>
      </c>
      <c r="F21" s="26" t="s">
        <v>40</v>
      </c>
      <c r="G21" s="26"/>
    </row>
    <row r="22" customFormat="false" ht="21.75" hidden="false" customHeight="true" outlineLevel="0" collapsed="false">
      <c r="A22" s="27" t="s">
        <v>41</v>
      </c>
      <c r="B22" s="28" t="n">
        <v>3</v>
      </c>
      <c r="C22" s="29" t="n">
        <f aca="false">ROUND(AVERAGE(D6:D9),1)</f>
        <v>4.8</v>
      </c>
      <c r="D22" s="28" t="n">
        <v>10</v>
      </c>
      <c r="E22" s="30" t="s">
        <v>42</v>
      </c>
      <c r="F22" s="31" t="s">
        <v>43</v>
      </c>
      <c r="G22" s="32"/>
    </row>
    <row r="23" customFormat="false" ht="21.75" hidden="false" customHeight="true" outlineLevel="0" collapsed="false">
      <c r="A23" s="27" t="s">
        <v>44</v>
      </c>
      <c r="B23" s="29" t="n">
        <v>0.1</v>
      </c>
      <c r="C23" s="29" t="n">
        <f aca="false">ROUND(AVERAGE(D14:D17),1)</f>
        <v>0.6</v>
      </c>
      <c r="D23" s="29" t="n">
        <v>1.5</v>
      </c>
      <c r="E23" s="30" t="s">
        <v>45</v>
      </c>
      <c r="F23" s="31" t="s">
        <v>46</v>
      </c>
      <c r="G23" s="32"/>
    </row>
  </sheetData>
  <mergeCells count="5">
    <mergeCell ref="A1:G1"/>
    <mergeCell ref="A2:G2"/>
    <mergeCell ref="A4:G4"/>
    <mergeCell ref="A12:G1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F5" activeCellId="0" sqref="F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3"/>
    <col collapsed="false" customWidth="true" hidden="false" outlineLevel="0" max="12" min="11" style="1" width="15"/>
    <col collapsed="false" customWidth="true" hidden="false" outlineLevel="0" max="13" min="13" style="1" width="14.56"/>
    <col collapsed="false" customWidth="true" hidden="false" outlineLevel="0" max="14" min="14" style="1" width="13.11"/>
  </cols>
  <sheetData>
    <row r="1" customFormat="false" ht="25.5" hidden="false" customHeight="true" outlineLevel="0" collapsed="false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3" t="s">
        <v>48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customFormat="false" ht="22.5" hidden="false" customHeight="true" outlineLevel="0" collapsed="false">
      <c r="A3" s="35" t="s">
        <v>49</v>
      </c>
      <c r="B3" s="35"/>
      <c r="C3" s="35"/>
      <c r="D3" s="4" t="s">
        <v>50</v>
      </c>
      <c r="E3" s="4"/>
      <c r="F3" s="4"/>
      <c r="G3" s="16" t="s">
        <v>51</v>
      </c>
      <c r="H3" s="16"/>
      <c r="I3" s="16"/>
      <c r="J3" s="36" t="s">
        <v>52</v>
      </c>
      <c r="K3" s="36"/>
      <c r="L3" s="36"/>
      <c r="M3" s="37" t="s">
        <v>53</v>
      </c>
      <c r="N3" s="37"/>
      <c r="O3" s="37"/>
    </row>
    <row r="4" customFormat="false" ht="43.5" hidden="false" customHeight="true" outlineLevel="0" collapsed="false">
      <c r="A4" s="38" t="s">
        <v>54</v>
      </c>
      <c r="B4" s="38" t="s">
        <v>55</v>
      </c>
      <c r="C4" s="38" t="s">
        <v>56</v>
      </c>
      <c r="D4" s="5" t="s">
        <v>57</v>
      </c>
      <c r="E4" s="39" t="s">
        <v>58</v>
      </c>
      <c r="F4" s="5" t="s">
        <v>59</v>
      </c>
      <c r="G4" s="17" t="s">
        <v>60</v>
      </c>
      <c r="H4" s="40" t="s">
        <v>61</v>
      </c>
      <c r="I4" s="17" t="s">
        <v>62</v>
      </c>
      <c r="J4" s="41" t="s">
        <v>63</v>
      </c>
      <c r="K4" s="41" t="s">
        <v>64</v>
      </c>
      <c r="L4" s="41" t="s">
        <v>65</v>
      </c>
      <c r="M4" s="42" t="s">
        <v>66</v>
      </c>
      <c r="N4" s="42" t="s">
        <v>67</v>
      </c>
      <c r="O4" s="42" t="s">
        <v>68</v>
      </c>
    </row>
    <row r="5" customFormat="false" ht="18" hidden="false" customHeight="true" outlineLevel="0" collapsed="false">
      <c r="A5" s="43" t="s">
        <v>69</v>
      </c>
      <c r="B5" s="44" t="n">
        <v>23225.56</v>
      </c>
      <c r="C5" s="45" t="s">
        <v>70</v>
      </c>
      <c r="D5" s="46" t="n">
        <f aca="false">IF(ISNUMBER(B5),B5*Parametros!$B$22,"—")</f>
        <v>69676.68</v>
      </c>
      <c r="E5" s="47" t="n">
        <f aca="false">IF(ISNUMBER(B5),B5*Parametros!$C$22,"—")</f>
        <v>111482.688</v>
      </c>
      <c r="F5" s="46" t="n">
        <f aca="false">IF(ISNUMBER(B5),B5*Parametros!$D$22,"—")</f>
        <v>232255.6</v>
      </c>
      <c r="G5" s="48" t="n">
        <f aca="false">IF(ISNUMBER(B5),B5*Parametros!$B$23,"—")</f>
        <v>2322.556</v>
      </c>
      <c r="H5" s="49" t="n">
        <f aca="false">IF(ISNUMBER(B5),B5*Parametros!$C$23,"—")</f>
        <v>13935.336</v>
      </c>
      <c r="I5" s="48" t="n">
        <f aca="false">IF(ISNUMBER(B5),B5*Parametros!$D$23,"—")</f>
        <v>34838.34</v>
      </c>
      <c r="J5" s="50" t="n">
        <f aca="false">IF(ISNUMBER(B5),B5*Parametros!$B$22/365,"—")</f>
        <v>190.89501369863</v>
      </c>
      <c r="K5" s="51" t="n">
        <f aca="false">IF(ISNUMBER(B5),B5*Parametros!$C$22/365,"—")</f>
        <v>305.432021917808</v>
      </c>
      <c r="L5" s="51" t="n">
        <f aca="false">IF(ISNUMBER(B5),B5*Parametros!$D$22/365,"—")</f>
        <v>636.316712328767</v>
      </c>
      <c r="M5" s="52" t="n">
        <f aca="false">IF(ISNUMBER(B5),B5*Parametros!$B$23/365,"—")</f>
        <v>6.36316712328767</v>
      </c>
      <c r="N5" s="52" t="n">
        <f aca="false">IF(ISNUMBER(B5),B5*Parametros!$C$23/365,"—")</f>
        <v>38.179002739726</v>
      </c>
      <c r="O5" s="52" t="n">
        <f aca="false">IF(ISNUMBER(B5),B5*Parametros!$D$23/365,"—")</f>
        <v>95.4475068493151</v>
      </c>
    </row>
    <row r="6" customFormat="false" ht="18" hidden="false" customHeight="true" outlineLevel="0" collapsed="false">
      <c r="A6" s="43" t="s">
        <v>71</v>
      </c>
      <c r="B6" s="44" t="n">
        <v>3475.86</v>
      </c>
      <c r="C6" s="45" t="s">
        <v>70</v>
      </c>
      <c r="D6" s="46" t="n">
        <f aca="false">IF(ISNUMBER(B6),B6*Parametros!$B$22,"—")</f>
        <v>10427.58</v>
      </c>
      <c r="E6" s="47" t="n">
        <f aca="false">IF(ISNUMBER(B6),B6*Parametros!$C$22,"—")</f>
        <v>16684.128</v>
      </c>
      <c r="F6" s="46" t="n">
        <f aca="false">IF(ISNUMBER(B6),B6*Parametros!$D$22,"—")</f>
        <v>34758.6</v>
      </c>
      <c r="G6" s="48" t="n">
        <f aca="false">IF(ISNUMBER(B6),B6*Parametros!$B$23,"—")</f>
        <v>347.586</v>
      </c>
      <c r="H6" s="49" t="n">
        <f aca="false">IF(ISNUMBER(B6),B6*Parametros!$C$23,"—")</f>
        <v>2085.516</v>
      </c>
      <c r="I6" s="48" t="n">
        <f aca="false">IF(ISNUMBER(B6),B6*Parametros!$D$23,"—")</f>
        <v>5213.79</v>
      </c>
      <c r="J6" s="50" t="n">
        <f aca="false">IF(ISNUMBER(B6),B6*Parametros!$B$22/365,"—")</f>
        <v>28.5687123287671</v>
      </c>
      <c r="K6" s="51" t="n">
        <f aca="false">IF(ISNUMBER(B6),B6*Parametros!$C$22/365,"—")</f>
        <v>45.7099397260274</v>
      </c>
      <c r="L6" s="51" t="n">
        <f aca="false">IF(ISNUMBER(B6),B6*Parametros!$D$22/365,"—")</f>
        <v>95.2290410958904</v>
      </c>
      <c r="M6" s="52" t="n">
        <f aca="false">IF(ISNUMBER(B6),B6*Parametros!$B$23/365,"—")</f>
        <v>0.952290410958904</v>
      </c>
      <c r="N6" s="52" t="n">
        <f aca="false">IF(ISNUMBER(B6),B6*Parametros!$C$23/365,"—")</f>
        <v>5.71374246575343</v>
      </c>
      <c r="O6" s="52" t="n">
        <f aca="false">IF(ISNUMBER(B6),B6*Parametros!$D$23/365,"—")</f>
        <v>14.2843561643836</v>
      </c>
    </row>
    <row r="7" customFormat="false" ht="18" hidden="false" customHeight="true" outlineLevel="0" collapsed="false">
      <c r="A7" s="53" t="s">
        <v>72</v>
      </c>
      <c r="B7" s="44" t="n">
        <v>3794.85</v>
      </c>
      <c r="C7" s="54" t="s">
        <v>70</v>
      </c>
      <c r="D7" s="46" t="n">
        <f aca="false">IF(ISNUMBER(B7),B7*Parametros!$B$22,"—")</f>
        <v>11384.55</v>
      </c>
      <c r="E7" s="47" t="n">
        <f aca="false">IF(ISNUMBER(B7),B7*Parametros!$C$22,"—")</f>
        <v>18215.28</v>
      </c>
      <c r="F7" s="46" t="n">
        <f aca="false">IF(ISNUMBER(B7),B7*Parametros!$D$22,"—")</f>
        <v>37948.5</v>
      </c>
      <c r="G7" s="48" t="n">
        <f aca="false">IF(ISNUMBER(B7),B7*Parametros!$B$23,"—")</f>
        <v>379.485</v>
      </c>
      <c r="H7" s="49" t="n">
        <f aca="false">IF(ISNUMBER(B7),B7*Parametros!$C$23,"—")</f>
        <v>2276.91</v>
      </c>
      <c r="I7" s="48" t="n">
        <f aca="false">IF(ISNUMBER(B7),B7*Parametros!$D$23,"—")</f>
        <v>5692.275</v>
      </c>
      <c r="J7" s="50" t="n">
        <f aca="false">IF(ISNUMBER(B7),B7*Parametros!$B$22/365,"—")</f>
        <v>31.1905479452055</v>
      </c>
      <c r="K7" s="51" t="n">
        <f aca="false">IF(ISNUMBER(B7),B7*Parametros!$C$22/365,"—")</f>
        <v>49.9048767123288</v>
      </c>
      <c r="L7" s="51" t="n">
        <f aca="false">IF(ISNUMBER(B7),B7*Parametros!$D$22/365,"—")</f>
        <v>103.968493150685</v>
      </c>
      <c r="M7" s="52" t="n">
        <f aca="false">IF(ISNUMBER(B7),B7*Parametros!$B$23/365,"—")</f>
        <v>1.03968493150685</v>
      </c>
      <c r="N7" s="52" t="n">
        <f aca="false">IF(ISNUMBER(B7),B7*Parametros!$C$23/365,"—")</f>
        <v>6.2381095890411</v>
      </c>
      <c r="O7" s="52" t="n">
        <f aca="false">IF(ISNUMBER(B7),B7*Parametros!$D$23/365,"—")</f>
        <v>15.5952739726027</v>
      </c>
    </row>
    <row r="8" customFormat="false" ht="18" hidden="false" customHeight="true" outlineLevel="0" collapsed="false">
      <c r="A8" s="43" t="s">
        <v>73</v>
      </c>
      <c r="B8" s="44" t="n">
        <v>1282.58</v>
      </c>
      <c r="C8" s="45" t="s">
        <v>70</v>
      </c>
      <c r="D8" s="46" t="n">
        <f aca="false">IF(ISNUMBER(B8),B8*Parametros!$B$22,"—")</f>
        <v>3847.74</v>
      </c>
      <c r="E8" s="47" t="n">
        <f aca="false">IF(ISNUMBER(B8),B8*Parametros!$C$22,"—")</f>
        <v>6156.384</v>
      </c>
      <c r="F8" s="46" t="n">
        <f aca="false">IF(ISNUMBER(B8),B8*Parametros!$D$22,"—")</f>
        <v>12825.8</v>
      </c>
      <c r="G8" s="48" t="n">
        <f aca="false">IF(ISNUMBER(B8),B8*Parametros!$B$23,"—")</f>
        <v>128.258</v>
      </c>
      <c r="H8" s="49" t="n">
        <f aca="false">IF(ISNUMBER(B8),B8*Parametros!$C$23,"—")</f>
        <v>769.548</v>
      </c>
      <c r="I8" s="48" t="n">
        <f aca="false">IF(ISNUMBER(B8),B8*Parametros!$D$23,"—")</f>
        <v>1923.87</v>
      </c>
      <c r="J8" s="50" t="n">
        <f aca="false">IF(ISNUMBER(B8),B8*Parametros!$B$22/365,"—")</f>
        <v>10.5417534246575</v>
      </c>
      <c r="K8" s="51" t="n">
        <f aca="false">IF(ISNUMBER(B8),B8*Parametros!$C$22/365,"—")</f>
        <v>16.8668054794521</v>
      </c>
      <c r="L8" s="51" t="n">
        <f aca="false">IF(ISNUMBER(B8),B8*Parametros!$D$22/365,"—")</f>
        <v>35.1391780821918</v>
      </c>
      <c r="M8" s="52" t="n">
        <f aca="false">IF(ISNUMBER(B8),B8*Parametros!$B$23/365,"—")</f>
        <v>0.351391780821918</v>
      </c>
      <c r="N8" s="52" t="n">
        <f aca="false">IF(ISNUMBER(B8),B8*Parametros!$C$23/365,"—")</f>
        <v>2.10835068493151</v>
      </c>
      <c r="O8" s="52" t="n">
        <f aca="false">IF(ISNUMBER(B8),B8*Parametros!$D$23/365,"—")</f>
        <v>5.27087671232877</v>
      </c>
    </row>
    <row r="9" customFormat="false" ht="18" hidden="false" customHeight="true" outlineLevel="0" collapsed="false">
      <c r="A9" s="53" t="s">
        <v>74</v>
      </c>
      <c r="B9" s="44" t="n">
        <v>1613.65</v>
      </c>
      <c r="C9" s="54" t="s">
        <v>70</v>
      </c>
      <c r="D9" s="46" t="n">
        <f aca="false">IF(ISNUMBER(B9),B9*Parametros!$B$22,"—")</f>
        <v>4840.95</v>
      </c>
      <c r="E9" s="47" t="n">
        <f aca="false">IF(ISNUMBER(B9),B9*Parametros!$C$22,"—")</f>
        <v>7745.52</v>
      </c>
      <c r="F9" s="46" t="n">
        <f aca="false">IF(ISNUMBER(B9),B9*Parametros!$D$22,"—")</f>
        <v>16136.5</v>
      </c>
      <c r="G9" s="48" t="n">
        <f aca="false">IF(ISNUMBER(B9),B9*Parametros!$B$23,"—")</f>
        <v>161.365</v>
      </c>
      <c r="H9" s="49" t="n">
        <f aca="false">IF(ISNUMBER(B9),B9*Parametros!$C$23,"—")</f>
        <v>968.19</v>
      </c>
      <c r="I9" s="48" t="n">
        <f aca="false">IF(ISNUMBER(B9),B9*Parametros!$D$23,"—")</f>
        <v>2420.475</v>
      </c>
      <c r="J9" s="50" t="n">
        <f aca="false">IF(ISNUMBER(B9),B9*Parametros!$B$22/365,"—")</f>
        <v>13.2628767123288</v>
      </c>
      <c r="K9" s="51" t="n">
        <f aca="false">IF(ISNUMBER(B9),B9*Parametros!$C$22/365,"—")</f>
        <v>21.220602739726</v>
      </c>
      <c r="L9" s="51" t="n">
        <f aca="false">IF(ISNUMBER(B9),B9*Parametros!$D$22/365,"—")</f>
        <v>44.2095890410959</v>
      </c>
      <c r="M9" s="52" t="n">
        <f aca="false">IF(ISNUMBER(B9),B9*Parametros!$B$23/365,"—")</f>
        <v>0.442095890410959</v>
      </c>
      <c r="N9" s="52" t="n">
        <f aca="false">IF(ISNUMBER(B9),B9*Parametros!$C$23/365,"—")</f>
        <v>2.65257534246575</v>
      </c>
      <c r="O9" s="52" t="n">
        <f aca="false">IF(ISNUMBER(B9),B9*Parametros!$D$23/365,"—")</f>
        <v>6.63143835616438</v>
      </c>
    </row>
    <row r="10" customFormat="false" ht="18" hidden="false" customHeight="true" outlineLevel="0" collapsed="false">
      <c r="A10" s="43" t="s">
        <v>75</v>
      </c>
      <c r="B10" s="44" t="n">
        <v>4990</v>
      </c>
      <c r="C10" s="45" t="s">
        <v>70</v>
      </c>
      <c r="D10" s="46" t="n">
        <f aca="false">IF(ISNUMBER(B10),B10*Parametros!$B$22,"—")</f>
        <v>14970</v>
      </c>
      <c r="E10" s="47" t="n">
        <f aca="false">IF(ISNUMBER(B10),B10*Parametros!$C$22,"—")</f>
        <v>23952</v>
      </c>
      <c r="F10" s="46" t="n">
        <f aca="false">IF(ISNUMBER(B10),B10*Parametros!$D$22,"—")</f>
        <v>49900</v>
      </c>
      <c r="G10" s="48" t="n">
        <f aca="false">IF(ISNUMBER(B10),B10*Parametros!$B$23,"—")</f>
        <v>499</v>
      </c>
      <c r="H10" s="49" t="n">
        <f aca="false">IF(ISNUMBER(B10),B10*Parametros!$C$23,"—")</f>
        <v>2994</v>
      </c>
      <c r="I10" s="48" t="n">
        <f aca="false">IF(ISNUMBER(B10),B10*Parametros!$D$23,"—")</f>
        <v>7485</v>
      </c>
      <c r="J10" s="50" t="n">
        <f aca="false">IF(ISNUMBER(B10),B10*Parametros!$B$22/365,"—")</f>
        <v>41.013698630137</v>
      </c>
      <c r="K10" s="51" t="n">
        <f aca="false">IF(ISNUMBER(B10),B10*Parametros!$C$22/365,"—")</f>
        <v>65.6219178082192</v>
      </c>
      <c r="L10" s="51" t="n">
        <f aca="false">IF(ISNUMBER(B10),B10*Parametros!$D$22/365,"—")</f>
        <v>136.712328767123</v>
      </c>
      <c r="M10" s="52" t="n">
        <f aca="false">IF(ISNUMBER(B10),B10*Parametros!$B$23/365,"—")</f>
        <v>1.36712328767123</v>
      </c>
      <c r="N10" s="52" t="n">
        <f aca="false">IF(ISNUMBER(B10),B10*Parametros!$C$23/365,"—")</f>
        <v>8.2027397260274</v>
      </c>
      <c r="O10" s="52" t="n">
        <f aca="false">IF(ISNUMBER(B10),B10*Parametros!$D$23/365,"—")</f>
        <v>20.5068493150685</v>
      </c>
    </row>
    <row r="11" customFormat="false" ht="18" hidden="false" customHeight="true" outlineLevel="0" collapsed="false">
      <c r="A11" s="53" t="s">
        <v>76</v>
      </c>
      <c r="B11" s="44" t="n">
        <v>1825.85</v>
      </c>
      <c r="C11" s="54" t="s">
        <v>70</v>
      </c>
      <c r="D11" s="46" t="n">
        <f aca="false">IF(ISNUMBER(B11),B11*Parametros!$B$22,"—")</f>
        <v>5477.55</v>
      </c>
      <c r="E11" s="47" t="n">
        <f aca="false">IF(ISNUMBER(B11),B11*Parametros!$C$22,"—")</f>
        <v>8764.08</v>
      </c>
      <c r="F11" s="46" t="n">
        <f aca="false">IF(ISNUMBER(B11),B11*Parametros!$D$22,"—")</f>
        <v>18258.5</v>
      </c>
      <c r="G11" s="48" t="n">
        <f aca="false">IF(ISNUMBER(B11),B11*Parametros!$B$23,"—")</f>
        <v>182.585</v>
      </c>
      <c r="H11" s="49" t="n">
        <f aca="false">IF(ISNUMBER(B11),B11*Parametros!$C$23,"—")</f>
        <v>1095.51</v>
      </c>
      <c r="I11" s="48" t="n">
        <f aca="false">IF(ISNUMBER(B11),B11*Parametros!$D$23,"—")</f>
        <v>2738.775</v>
      </c>
      <c r="J11" s="50" t="n">
        <f aca="false">IF(ISNUMBER(B11),B11*Parametros!$B$22/365,"—")</f>
        <v>15.0069863013699</v>
      </c>
      <c r="K11" s="51" t="n">
        <f aca="false">IF(ISNUMBER(B11),B11*Parametros!$C$22/365,"—")</f>
        <v>24.0111780821918</v>
      </c>
      <c r="L11" s="51" t="n">
        <f aca="false">IF(ISNUMBER(B11),B11*Parametros!$D$22/365,"—")</f>
        <v>50.0232876712329</v>
      </c>
      <c r="M11" s="52" t="n">
        <f aca="false">IF(ISNUMBER(B11),B11*Parametros!$B$23/365,"—")</f>
        <v>0.500232876712329</v>
      </c>
      <c r="N11" s="52" t="n">
        <f aca="false">IF(ISNUMBER(B11),B11*Parametros!$C$23/365,"—")</f>
        <v>3.00139726027397</v>
      </c>
      <c r="O11" s="52" t="n">
        <f aca="false">IF(ISNUMBER(B11),B11*Parametros!$D$23/365,"—")</f>
        <v>7.50349315068493</v>
      </c>
    </row>
    <row r="12" customFormat="false" ht="18" hidden="false" customHeight="true" outlineLevel="0" collapsed="false">
      <c r="A12" s="43" t="s">
        <v>77</v>
      </c>
      <c r="B12" s="44" t="n">
        <v>654.74</v>
      </c>
      <c r="C12" s="45" t="s">
        <v>70</v>
      </c>
      <c r="D12" s="46" t="n">
        <f aca="false">IF(ISNUMBER(B12),B12*Parametros!$B$22,"—")</f>
        <v>1964.22</v>
      </c>
      <c r="E12" s="47" t="n">
        <f aca="false">IF(ISNUMBER(B12),B12*Parametros!$C$22,"—")</f>
        <v>3142.752</v>
      </c>
      <c r="F12" s="46" t="n">
        <f aca="false">IF(ISNUMBER(B12),B12*Parametros!$D$22,"—")</f>
        <v>6547.4</v>
      </c>
      <c r="G12" s="48" t="n">
        <f aca="false">IF(ISNUMBER(B12),B12*Parametros!$B$23,"—")</f>
        <v>65.474</v>
      </c>
      <c r="H12" s="49" t="n">
        <f aca="false">IF(ISNUMBER(B12),B12*Parametros!$C$23,"—")</f>
        <v>392.844</v>
      </c>
      <c r="I12" s="48" t="n">
        <f aca="false">IF(ISNUMBER(B12),B12*Parametros!$D$23,"—")</f>
        <v>982.11</v>
      </c>
      <c r="J12" s="50" t="n">
        <f aca="false">IF(ISNUMBER(B12),B12*Parametros!$B$22/365,"—")</f>
        <v>5.38142465753425</v>
      </c>
      <c r="K12" s="51" t="n">
        <f aca="false">IF(ISNUMBER(B12),B12*Parametros!$C$22/365,"—")</f>
        <v>8.61027945205479</v>
      </c>
      <c r="L12" s="51" t="n">
        <f aca="false">IF(ISNUMBER(B12),B12*Parametros!$D$22/365,"—")</f>
        <v>17.9380821917808</v>
      </c>
      <c r="M12" s="52" t="n">
        <f aca="false">IF(ISNUMBER(B12),B12*Parametros!$B$23/365,"—")</f>
        <v>0.179380821917808</v>
      </c>
      <c r="N12" s="52" t="n">
        <f aca="false">IF(ISNUMBER(B12),B12*Parametros!$C$23/365,"—")</f>
        <v>1.07628493150685</v>
      </c>
      <c r="O12" s="52" t="n">
        <f aca="false">IF(ISNUMBER(B12),B12*Parametros!$D$23/365,"—")</f>
        <v>2.69071232876712</v>
      </c>
    </row>
    <row r="13" customFormat="false" ht="18" hidden="false" customHeight="true" outlineLevel="0" collapsed="false">
      <c r="A13" s="53" t="s">
        <v>78</v>
      </c>
      <c r="B13" s="44" t="n">
        <v>266.9</v>
      </c>
      <c r="C13" s="54" t="s">
        <v>70</v>
      </c>
      <c r="D13" s="46" t="n">
        <f aca="false">IF(ISNUMBER(B13),B13*Parametros!$B$22,"—")</f>
        <v>800.7</v>
      </c>
      <c r="E13" s="47" t="n">
        <f aca="false">IF(ISNUMBER(B13),B13*Parametros!$C$22,"—")</f>
        <v>1281.12</v>
      </c>
      <c r="F13" s="46" t="n">
        <f aca="false">IF(ISNUMBER(B13),B13*Parametros!$D$22,"—")</f>
        <v>2669</v>
      </c>
      <c r="G13" s="48" t="n">
        <f aca="false">IF(ISNUMBER(B13),B13*Parametros!$B$23,"—")</f>
        <v>26.69</v>
      </c>
      <c r="H13" s="49" t="n">
        <f aca="false">IF(ISNUMBER(B13),B13*Parametros!$C$23,"—")</f>
        <v>160.14</v>
      </c>
      <c r="I13" s="48" t="n">
        <f aca="false">IF(ISNUMBER(B13),B13*Parametros!$D$23,"—")</f>
        <v>400.35</v>
      </c>
      <c r="J13" s="50" t="n">
        <f aca="false">IF(ISNUMBER(B13),B13*Parametros!$B$22/365,"—")</f>
        <v>2.19369863013699</v>
      </c>
      <c r="K13" s="51" t="n">
        <f aca="false">IF(ISNUMBER(B13),B13*Parametros!$C$22/365,"—")</f>
        <v>3.50991780821918</v>
      </c>
      <c r="L13" s="51" t="n">
        <f aca="false">IF(ISNUMBER(B13),B13*Parametros!$D$22/365,"—")</f>
        <v>7.31232876712329</v>
      </c>
      <c r="M13" s="52" t="n">
        <f aca="false">IF(ISNUMBER(B13),B13*Parametros!$B$23/365,"—")</f>
        <v>0.0731232876712329</v>
      </c>
      <c r="N13" s="52" t="n">
        <f aca="false">IF(ISNUMBER(B13),B13*Parametros!$C$23/365,"—")</f>
        <v>0.438739726027397</v>
      </c>
      <c r="O13" s="52" t="n">
        <f aca="false">IF(ISNUMBER(B13),B13*Parametros!$D$23/365,"—")</f>
        <v>1.09684931506849</v>
      </c>
    </row>
    <row r="14" customFormat="false" ht="18" hidden="false" customHeight="true" outlineLevel="0" collapsed="false">
      <c r="A14" s="43" t="s">
        <v>79</v>
      </c>
      <c r="B14" s="44" t="n">
        <v>1438.91</v>
      </c>
      <c r="C14" s="45" t="s">
        <v>70</v>
      </c>
      <c r="D14" s="46" t="n">
        <f aca="false">IF(ISNUMBER(B14),B14*Parametros!$B$22,"—")</f>
        <v>4316.73</v>
      </c>
      <c r="E14" s="47" t="n">
        <f aca="false">IF(ISNUMBER(B14),B14*Parametros!$C$22,"—")</f>
        <v>6906.768</v>
      </c>
      <c r="F14" s="46" t="n">
        <f aca="false">IF(ISNUMBER(B14),B14*Parametros!$D$22,"—")</f>
        <v>14389.1</v>
      </c>
      <c r="G14" s="48" t="n">
        <f aca="false">IF(ISNUMBER(B14),B14*Parametros!$B$23,"—")</f>
        <v>143.891</v>
      </c>
      <c r="H14" s="49" t="n">
        <f aca="false">IF(ISNUMBER(B14),B14*Parametros!$C$23,"—")</f>
        <v>863.346</v>
      </c>
      <c r="I14" s="48" t="n">
        <f aca="false">IF(ISNUMBER(B14),B14*Parametros!$D$23,"—")</f>
        <v>2158.365</v>
      </c>
      <c r="J14" s="50" t="n">
        <f aca="false">IF(ISNUMBER(B14),B14*Parametros!$B$22/365,"—")</f>
        <v>11.8266575342466</v>
      </c>
      <c r="K14" s="51" t="n">
        <f aca="false">IF(ISNUMBER(B14),B14*Parametros!$C$22/365,"—")</f>
        <v>18.9226520547945</v>
      </c>
      <c r="L14" s="51" t="n">
        <f aca="false">IF(ISNUMBER(B14),B14*Parametros!$D$22/365,"—")</f>
        <v>39.4221917808219</v>
      </c>
      <c r="M14" s="52" t="n">
        <f aca="false">IF(ISNUMBER(B14),B14*Parametros!$B$23/365,"—")</f>
        <v>0.394221917808219</v>
      </c>
      <c r="N14" s="52" t="n">
        <f aca="false">IF(ISNUMBER(B14),B14*Parametros!$C$23/365,"—")</f>
        <v>2.36533150684932</v>
      </c>
      <c r="O14" s="52" t="n">
        <f aca="false">IF(ISNUMBER(B14),B14*Parametros!$D$23/365,"—")</f>
        <v>5.91332876712329</v>
      </c>
    </row>
    <row r="15" customFormat="false" ht="18" hidden="false" customHeight="true" outlineLevel="0" collapsed="false">
      <c r="A15" s="53" t="s">
        <v>80</v>
      </c>
      <c r="B15" s="44" t="n">
        <v>896.63</v>
      </c>
      <c r="C15" s="54" t="s">
        <v>70</v>
      </c>
      <c r="D15" s="46" t="n">
        <f aca="false">IF(ISNUMBER(B15),B15*Parametros!$B$22,"—")</f>
        <v>2689.89</v>
      </c>
      <c r="E15" s="47" t="n">
        <f aca="false">IF(ISNUMBER(B15),B15*Parametros!$C$22,"—")</f>
        <v>4303.824</v>
      </c>
      <c r="F15" s="46" t="n">
        <f aca="false">IF(ISNUMBER(B15),B15*Parametros!$D$22,"—")</f>
        <v>8966.3</v>
      </c>
      <c r="G15" s="48" t="n">
        <f aca="false">IF(ISNUMBER(B15),B15*Parametros!$B$23,"—")</f>
        <v>89.663</v>
      </c>
      <c r="H15" s="49" t="n">
        <f aca="false">IF(ISNUMBER(B15),B15*Parametros!$C$23,"—")</f>
        <v>537.978</v>
      </c>
      <c r="I15" s="48" t="n">
        <f aca="false">IF(ISNUMBER(B15),B15*Parametros!$D$23,"—")</f>
        <v>1344.945</v>
      </c>
      <c r="J15" s="50" t="n">
        <f aca="false">IF(ISNUMBER(B15),B15*Parametros!$B$22/365,"—")</f>
        <v>7.36956164383562</v>
      </c>
      <c r="K15" s="51" t="n">
        <f aca="false">IF(ISNUMBER(B15),B15*Parametros!$C$22/365,"—")</f>
        <v>11.791298630137</v>
      </c>
      <c r="L15" s="51" t="n">
        <f aca="false">IF(ISNUMBER(B15),B15*Parametros!$D$22/365,"—")</f>
        <v>24.5652054794521</v>
      </c>
      <c r="M15" s="52" t="n">
        <f aca="false">IF(ISNUMBER(B15),B15*Parametros!$B$23/365,"—")</f>
        <v>0.245652054794521</v>
      </c>
      <c r="N15" s="52" t="n">
        <f aca="false">IF(ISNUMBER(B15),B15*Parametros!$C$23/365,"—")</f>
        <v>1.47391232876712</v>
      </c>
      <c r="O15" s="52" t="n">
        <f aca="false">IF(ISNUMBER(B15),B15*Parametros!$D$23/365,"—")</f>
        <v>3.68478082191781</v>
      </c>
    </row>
    <row r="16" customFormat="false" ht="18" hidden="false" customHeight="true" outlineLevel="0" collapsed="false">
      <c r="A16" s="43" t="s">
        <v>81</v>
      </c>
      <c r="B16" s="44" t="n">
        <v>511.13</v>
      </c>
      <c r="C16" s="55" t="s">
        <v>82</v>
      </c>
      <c r="D16" s="46" t="n">
        <f aca="false">IF(ISNUMBER(B16),B16*Parametros!$B$22,"—")</f>
        <v>1533.39</v>
      </c>
      <c r="E16" s="47" t="n">
        <f aca="false">IF(ISNUMBER(B16),B16*Parametros!$C$22,"—")</f>
        <v>2453.424</v>
      </c>
      <c r="F16" s="46" t="n">
        <f aca="false">IF(ISNUMBER(B16),B16*Parametros!$D$22,"—")</f>
        <v>5111.3</v>
      </c>
      <c r="G16" s="48" t="n">
        <f aca="false">IF(ISNUMBER(B16),B16*Parametros!$B$23,"—")</f>
        <v>51.113</v>
      </c>
      <c r="H16" s="49" t="n">
        <f aca="false">IF(ISNUMBER(B16),B16*Parametros!$C$23,"—")</f>
        <v>306.678</v>
      </c>
      <c r="I16" s="48" t="n">
        <f aca="false">IF(ISNUMBER(B16),B16*Parametros!$D$23,"—")</f>
        <v>766.695</v>
      </c>
      <c r="J16" s="50" t="n">
        <f aca="false">IF(ISNUMBER(B16),B16*Parametros!$B$22/365,"—")</f>
        <v>4.20106849315069</v>
      </c>
      <c r="K16" s="51" t="n">
        <f aca="false">IF(ISNUMBER(B16),B16*Parametros!$C$22/365,"—")</f>
        <v>6.7217095890411</v>
      </c>
      <c r="L16" s="51" t="n">
        <f aca="false">IF(ISNUMBER(B16),B16*Parametros!$D$22/365,"—")</f>
        <v>14.0035616438356</v>
      </c>
      <c r="M16" s="52" t="n">
        <f aca="false">IF(ISNUMBER(B16),B16*Parametros!$B$23/365,"—")</f>
        <v>0.140035616438356</v>
      </c>
      <c r="N16" s="52" t="n">
        <f aca="false">IF(ISNUMBER(B16),B16*Parametros!$C$23/365,"—")</f>
        <v>0.840213698630137</v>
      </c>
      <c r="O16" s="52" t="n">
        <f aca="false">IF(ISNUMBER(B16),B16*Parametros!$D$23/365,"—")</f>
        <v>2.10053424657534</v>
      </c>
    </row>
    <row r="17" customFormat="false" ht="18" hidden="false" customHeight="true" outlineLevel="0" collapsed="false">
      <c r="A17" s="53" t="s">
        <v>83</v>
      </c>
      <c r="B17" s="44" t="n">
        <v>504.77</v>
      </c>
      <c r="C17" s="54" t="s">
        <v>70</v>
      </c>
      <c r="D17" s="46" t="n">
        <f aca="false">IF(ISNUMBER(B17),B17*Parametros!$B$22,"—")</f>
        <v>1514.31</v>
      </c>
      <c r="E17" s="47" t="n">
        <f aca="false">IF(ISNUMBER(B17),B17*Parametros!$C$22,"—")</f>
        <v>2422.896</v>
      </c>
      <c r="F17" s="46" t="n">
        <f aca="false">IF(ISNUMBER(B17),B17*Parametros!$D$22,"—")</f>
        <v>5047.7</v>
      </c>
      <c r="G17" s="48" t="n">
        <f aca="false">IF(ISNUMBER(B17),B17*Parametros!$B$23,"—")</f>
        <v>50.477</v>
      </c>
      <c r="H17" s="49" t="n">
        <f aca="false">IF(ISNUMBER(B17),B17*Parametros!$C$23,"—")</f>
        <v>302.862</v>
      </c>
      <c r="I17" s="48" t="n">
        <f aca="false">IF(ISNUMBER(B17),B17*Parametros!$D$23,"—")</f>
        <v>757.155</v>
      </c>
      <c r="J17" s="50" t="n">
        <f aca="false">IF(ISNUMBER(B17),B17*Parametros!$B$22/365,"—")</f>
        <v>4.14879452054795</v>
      </c>
      <c r="K17" s="51" t="n">
        <f aca="false">IF(ISNUMBER(B17),B17*Parametros!$C$22/365,"—")</f>
        <v>6.63807123287671</v>
      </c>
      <c r="L17" s="51" t="n">
        <f aca="false">IF(ISNUMBER(B17),B17*Parametros!$D$22/365,"—")</f>
        <v>13.8293150684932</v>
      </c>
      <c r="M17" s="52" t="n">
        <f aca="false">IF(ISNUMBER(B17),B17*Parametros!$B$23/365,"—")</f>
        <v>0.138293150684932</v>
      </c>
      <c r="N17" s="52" t="n">
        <f aca="false">IF(ISNUMBER(B17),B17*Parametros!$C$23/365,"—")</f>
        <v>0.829758904109589</v>
      </c>
      <c r="O17" s="52" t="n">
        <f aca="false">IF(ISNUMBER(B17),B17*Parametros!$D$23/365,"—")</f>
        <v>2.07439726027397</v>
      </c>
    </row>
    <row r="18" customFormat="false" ht="18" hidden="false" customHeight="true" outlineLevel="0" collapsed="false">
      <c r="A18" s="53" t="s">
        <v>84</v>
      </c>
      <c r="B18" s="44" t="n">
        <v>678.41</v>
      </c>
      <c r="C18" s="55" t="s">
        <v>85</v>
      </c>
      <c r="D18" s="46" t="n">
        <f aca="false">IF(ISNUMBER(B18),B18*Parametros!$B$22,"—")</f>
        <v>2035.23</v>
      </c>
      <c r="E18" s="47" t="n">
        <f aca="false">IF(ISNUMBER(B18),B18*Parametros!$C$22,"—")</f>
        <v>3256.368</v>
      </c>
      <c r="F18" s="46" t="n">
        <f aca="false">IF(ISNUMBER(B18),B18*Parametros!$D$22,"—")</f>
        <v>6784.1</v>
      </c>
      <c r="G18" s="48" t="n">
        <f aca="false">IF(ISNUMBER(B18),B18*Parametros!$B$23,"—")</f>
        <v>67.841</v>
      </c>
      <c r="H18" s="49" t="n">
        <f aca="false">IF(ISNUMBER(B18),B18*Parametros!$C$23,"—")</f>
        <v>407.046</v>
      </c>
      <c r="I18" s="48" t="n">
        <f aca="false">IF(ISNUMBER(B18),B18*Parametros!$D$23,"—")</f>
        <v>1017.615</v>
      </c>
      <c r="J18" s="50" t="n">
        <f aca="false">IF(ISNUMBER(B18),B18*Parametros!$B$22/365,"—")</f>
        <v>5.57597260273973</v>
      </c>
      <c r="K18" s="51" t="n">
        <f aca="false">IF(ISNUMBER(B18),B18*Parametros!$C$22/365,"—")</f>
        <v>8.92155616438356</v>
      </c>
      <c r="L18" s="51" t="n">
        <f aca="false">IF(ISNUMBER(B18),B18*Parametros!$D$22/365,"—")</f>
        <v>18.5865753424658</v>
      </c>
      <c r="M18" s="52" t="n">
        <f aca="false">IF(ISNUMBER(B18),B18*Parametros!$B$23/365,"—")</f>
        <v>0.185865753424658</v>
      </c>
      <c r="N18" s="52" t="n">
        <f aca="false">IF(ISNUMBER(B18),B18*Parametros!$C$23/365,"—")</f>
        <v>1.11519452054795</v>
      </c>
      <c r="O18" s="52" t="n">
        <f aca="false">IF(ISNUMBER(B18),B18*Parametros!$D$23/365,"—")</f>
        <v>2.78798630136986</v>
      </c>
    </row>
    <row r="19" customFormat="false" ht="18" hidden="false" customHeight="true" outlineLevel="0" collapsed="false">
      <c r="A19" s="53" t="s">
        <v>86</v>
      </c>
      <c r="B19" s="44" t="n">
        <v>631.3</v>
      </c>
      <c r="C19" s="54" t="s">
        <v>70</v>
      </c>
      <c r="D19" s="46" t="n">
        <f aca="false">IF(ISNUMBER(B19),B19*Parametros!$B$22,"—")</f>
        <v>1893.9</v>
      </c>
      <c r="E19" s="47" t="n">
        <f aca="false">IF(ISNUMBER(B19),B19*Parametros!$C$22,"—")</f>
        <v>3030.24</v>
      </c>
      <c r="F19" s="46" t="n">
        <f aca="false">IF(ISNUMBER(B19),B19*Parametros!$D$22,"—")</f>
        <v>6313</v>
      </c>
      <c r="G19" s="48" t="n">
        <f aca="false">IF(ISNUMBER(B19),B19*Parametros!$B$23,"—")</f>
        <v>63.13</v>
      </c>
      <c r="H19" s="49" t="n">
        <f aca="false">IF(ISNUMBER(B19),B19*Parametros!$C$23,"—")</f>
        <v>378.78</v>
      </c>
      <c r="I19" s="48" t="n">
        <f aca="false">IF(ISNUMBER(B19),B19*Parametros!$D$23,"—")</f>
        <v>946.95</v>
      </c>
      <c r="J19" s="50" t="n">
        <f aca="false">IF(ISNUMBER(B19),B19*Parametros!$B$22/365,"—")</f>
        <v>5.18876712328767</v>
      </c>
      <c r="K19" s="51" t="n">
        <f aca="false">IF(ISNUMBER(B19),B19*Parametros!$C$22/365,"—")</f>
        <v>8.30202739726027</v>
      </c>
      <c r="L19" s="51" t="n">
        <f aca="false">IF(ISNUMBER(B19),B19*Parametros!$D$22/365,"—")</f>
        <v>17.2958904109589</v>
      </c>
      <c r="M19" s="52" t="n">
        <f aca="false">IF(ISNUMBER(B19),B19*Parametros!$B$23/365,"—")</f>
        <v>0.172958904109589</v>
      </c>
      <c r="N19" s="52" t="n">
        <f aca="false">IF(ISNUMBER(B19),B19*Parametros!$C$23/365,"—")</f>
        <v>1.03775342465753</v>
      </c>
      <c r="O19" s="52" t="n">
        <f aca="false">IF(ISNUMBER(B19),B19*Parametros!$D$23/365,"—")</f>
        <v>2.59438356164384</v>
      </c>
    </row>
    <row r="20" customFormat="false" ht="18" hidden="false" customHeight="true" outlineLevel="0" collapsed="false">
      <c r="A20" s="43" t="s">
        <v>87</v>
      </c>
      <c r="B20" s="44" t="n">
        <v>2526.97</v>
      </c>
      <c r="C20" s="45" t="s">
        <v>70</v>
      </c>
      <c r="D20" s="46" t="n">
        <f aca="false">IF(ISNUMBER(B20),B20*Parametros!$B$22,"—")</f>
        <v>7580.91</v>
      </c>
      <c r="E20" s="47" t="n">
        <f aca="false">IF(ISNUMBER(B20),B20*Parametros!$C$22,"—")</f>
        <v>12129.456</v>
      </c>
      <c r="F20" s="46" t="n">
        <f aca="false">IF(ISNUMBER(B20),B20*Parametros!$D$22,"—")</f>
        <v>25269.7</v>
      </c>
      <c r="G20" s="48" t="n">
        <f aca="false">IF(ISNUMBER(B20),B20*Parametros!$B$23,"—")</f>
        <v>252.697</v>
      </c>
      <c r="H20" s="49" t="n">
        <f aca="false">IF(ISNUMBER(B20),B20*Parametros!$C$23,"—")</f>
        <v>1516.182</v>
      </c>
      <c r="I20" s="48" t="n">
        <f aca="false">IF(ISNUMBER(B20),B20*Parametros!$D$23,"—")</f>
        <v>3790.455</v>
      </c>
      <c r="J20" s="50" t="n">
        <f aca="false">IF(ISNUMBER(B20),B20*Parametros!$B$22/365,"—")</f>
        <v>20.7696164383562</v>
      </c>
      <c r="K20" s="51" t="n">
        <f aca="false">IF(ISNUMBER(B20),B20*Parametros!$C$22/365,"—")</f>
        <v>33.2313863013699</v>
      </c>
      <c r="L20" s="51" t="n">
        <f aca="false">IF(ISNUMBER(B20),B20*Parametros!$D$22/365,"—")</f>
        <v>69.2320547945205</v>
      </c>
      <c r="M20" s="52" t="n">
        <f aca="false">IF(ISNUMBER(B20),B20*Parametros!$B$23/365,"—")</f>
        <v>0.692320547945206</v>
      </c>
      <c r="N20" s="52" t="n">
        <f aca="false">IF(ISNUMBER(B20),B20*Parametros!$C$23/365,"—")</f>
        <v>4.15392328767123</v>
      </c>
      <c r="O20" s="52" t="n">
        <f aca="false">IF(ISNUMBER(B20),B20*Parametros!$D$23/365,"—")</f>
        <v>10.3848082191781</v>
      </c>
    </row>
    <row r="21" customFormat="false" ht="19.5" hidden="false" customHeight="true" outlineLevel="0" collapsed="false">
      <c r="A21" s="56" t="s">
        <v>88</v>
      </c>
      <c r="B21" s="57" t="n">
        <f aca="false">SUM(B5:B20)</f>
        <v>48318.11</v>
      </c>
      <c r="C21" s="58"/>
      <c r="D21" s="59" t="n">
        <f aca="false">SUM(D5:D20)</f>
        <v>144954.33</v>
      </c>
      <c r="E21" s="59" t="n">
        <f aca="false">SUM(E5:E20)</f>
        <v>231926.928</v>
      </c>
      <c r="F21" s="59" t="n">
        <f aca="false">SUM(F5:F20)</f>
        <v>483181.1</v>
      </c>
      <c r="G21" s="59" t="n">
        <f aca="false">SUM(G5:G20)</f>
        <v>4831.811</v>
      </c>
      <c r="H21" s="59" t="n">
        <f aca="false">SUM(H5:H20)</f>
        <v>28990.866</v>
      </c>
      <c r="I21" s="59" t="n">
        <f aca="false">SUM(I5:I20)</f>
        <v>72477.165</v>
      </c>
      <c r="J21" s="59" t="n">
        <f aca="false">SUM(J5:J20)</f>
        <v>397.135150684932</v>
      </c>
      <c r="K21" s="59" t="n">
        <f aca="false">SUM(K5:K20)</f>
        <v>635.41624109589</v>
      </c>
      <c r="L21" s="59" t="n">
        <f aca="false">SUM(L5:L20)</f>
        <v>1323.78383561644</v>
      </c>
      <c r="M21" s="59" t="n">
        <f aca="false">SUM(M5:M20)</f>
        <v>13.2378383561644</v>
      </c>
      <c r="N21" s="59" t="n">
        <f aca="false">SUM(N5:N20)</f>
        <v>79.4270301369863</v>
      </c>
      <c r="O21" s="59" t="n">
        <f aca="false">SUM(O5:O20)</f>
        <v>198.567575342466</v>
      </c>
    </row>
    <row r="23" customFormat="false" ht="30" hidden="false" customHeight="true" outlineLevel="0" collapsed="false">
      <c r="A23" s="60" t="s">
        <v>89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6" customFormat="false" ht="14.25" hidden="false" customHeight="true" outlineLevel="0" collapsed="false"/>
  </sheetData>
  <mergeCells count="8">
    <mergeCell ref="A1:N1"/>
    <mergeCell ref="A2:K2"/>
    <mergeCell ref="A3:C3"/>
    <mergeCell ref="D3:F3"/>
    <mergeCell ref="G3:I3"/>
    <mergeCell ref="J3:L3"/>
    <mergeCell ref="M3:O3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1" activePane="bottomLeft" state="frozen"/>
      <selection pane="topLeft" activeCell="A1" activeCellId="0" sqref="A1"/>
      <selection pane="bottomLeft" activeCell="B17" activeCellId="0" sqref="B1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3.56"/>
    <col collapsed="false" customWidth="true" hidden="false" outlineLevel="0" max="2" min="2" style="1" width="24"/>
    <col collapsed="false" customWidth="true" hidden="false" outlineLevel="0" max="3" min="3" style="1" width="11.11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36"/>
  </cols>
  <sheetData>
    <row r="1" customFormat="false" ht="25.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3" customFormat="false" ht="19.5" hidden="false" customHeight="true" outlineLevel="0" collapsed="false">
      <c r="A3" s="62" t="s">
        <v>91</v>
      </c>
      <c r="B3" s="62"/>
      <c r="C3" s="62"/>
      <c r="D3" s="62"/>
      <c r="E3" s="62"/>
      <c r="F3" s="62"/>
    </row>
    <row r="4" customFormat="false" ht="39.75" hidden="false" customHeight="true" outlineLevel="0" collapsed="false">
      <c r="A4" s="63" t="s">
        <v>92</v>
      </c>
      <c r="B4" s="63" t="s">
        <v>93</v>
      </c>
      <c r="C4" s="63" t="s">
        <v>94</v>
      </c>
      <c r="D4" s="64" t="s">
        <v>95</v>
      </c>
      <c r="E4" s="64" t="s">
        <v>96</v>
      </c>
      <c r="F4" s="64" t="s">
        <v>97</v>
      </c>
    </row>
    <row r="5" customFormat="false" ht="27.75" hidden="false" customHeight="true" outlineLevel="0" collapsed="false">
      <c r="A5" s="65" t="n">
        <v>3</v>
      </c>
      <c r="B5" s="66" t="n">
        <v>5</v>
      </c>
      <c r="C5" s="65" t="n">
        <v>10</v>
      </c>
      <c r="D5" s="67" t="n">
        <v>0.1</v>
      </c>
      <c r="E5" s="68" t="n">
        <v>0.4</v>
      </c>
      <c r="F5" s="67" t="n">
        <v>0.8</v>
      </c>
    </row>
    <row r="6" customFormat="false" ht="27.75" hidden="false" customHeight="true" outlineLevel="0" collapsed="false">
      <c r="A6" s="69" t="n">
        <v>1.5</v>
      </c>
      <c r="B6" s="66" t="n">
        <v>5</v>
      </c>
      <c r="C6" s="69" t="n">
        <v>12</v>
      </c>
      <c r="D6" s="70" t="n">
        <v>0.3</v>
      </c>
      <c r="E6" s="68" t="n">
        <v>0.7</v>
      </c>
      <c r="F6" s="70" t="n">
        <v>1.2</v>
      </c>
    </row>
    <row r="7" customFormat="false" ht="27.75" hidden="false" customHeight="true" outlineLevel="0" collapsed="false">
      <c r="A7" s="65" t="n">
        <v>2</v>
      </c>
      <c r="B7" s="66" t="n">
        <v>5</v>
      </c>
      <c r="C7" s="65" t="n">
        <v>8</v>
      </c>
      <c r="D7" s="67" t="n">
        <v>0.4</v>
      </c>
      <c r="E7" s="68" t="n">
        <v>0.9</v>
      </c>
      <c r="F7" s="67" t="n">
        <v>1.5</v>
      </c>
    </row>
    <row r="8" customFormat="false" ht="27.75" hidden="false" customHeight="true" outlineLevel="0" collapsed="false">
      <c r="A8" s="65" t="n">
        <v>1</v>
      </c>
      <c r="B8" s="66" t="n">
        <v>4</v>
      </c>
      <c r="C8" s="65" t="n">
        <v>8</v>
      </c>
      <c r="D8" s="70" t="n">
        <v>0.05</v>
      </c>
      <c r="E8" s="68" t="n">
        <v>0.3</v>
      </c>
      <c r="F8" s="70" t="n">
        <v>0.6</v>
      </c>
    </row>
    <row r="9" customFormat="false" ht="27.75" hidden="false" customHeight="true" outlineLevel="0" collapsed="false"/>
    <row r="12" customFormat="false" ht="19.5" hidden="false" customHeight="true" outlineLevel="0" collapsed="false">
      <c r="A12" s="62" t="s">
        <v>98</v>
      </c>
      <c r="B12" s="62"/>
      <c r="C12" s="62"/>
      <c r="D12" s="62"/>
      <c r="E12" s="62"/>
      <c r="F12" s="62"/>
      <c r="G12" s="62"/>
      <c r="H12" s="62"/>
      <c r="I12" s="62"/>
    </row>
    <row r="13" customFormat="false" ht="27" hidden="false" customHeight="true" outlineLevel="0" collapsed="false">
      <c r="A13" s="71" t="s">
        <v>99</v>
      </c>
      <c r="B13" s="72" t="s">
        <v>100</v>
      </c>
      <c r="C13" s="73" t="s">
        <v>101</v>
      </c>
      <c r="D13" s="71" t="s">
        <v>102</v>
      </c>
      <c r="E13" s="71"/>
      <c r="F13" s="71"/>
      <c r="G13" s="71"/>
      <c r="H13" s="71"/>
      <c r="I13" s="71"/>
    </row>
    <row r="14" customFormat="false" ht="31.5" hidden="false" customHeight="true" outlineLevel="0" collapsed="false">
      <c r="A14" s="74" t="s">
        <v>103</v>
      </c>
      <c r="B14" s="75" t="n">
        <f aca="false">COUNT(B5,B6,B7,B8)</f>
        <v>4</v>
      </c>
      <c r="C14" s="76" t="n">
        <f aca="false">COUNT(E5,E6,E7,E8)</f>
        <v>4</v>
      </c>
      <c r="D14" s="77" t="s">
        <v>104</v>
      </c>
      <c r="E14" s="77"/>
      <c r="F14" s="77"/>
      <c r="G14" s="77"/>
      <c r="H14" s="77"/>
      <c r="I14" s="77"/>
    </row>
    <row r="15" customFormat="false" ht="31.5" hidden="false" customHeight="true" outlineLevel="0" collapsed="false">
      <c r="A15" s="78" t="s">
        <v>105</v>
      </c>
      <c r="B15" s="79" t="n">
        <f aca="false">AVERAGE(B5,B6,B7,B8)</f>
        <v>4.75</v>
      </c>
      <c r="C15" s="80" t="n">
        <f aca="false">AVERAGE(E5,E6,E7,E8)</f>
        <v>0.575</v>
      </c>
      <c r="D15" s="81" t="s">
        <v>106</v>
      </c>
      <c r="E15" s="81"/>
      <c r="F15" s="81"/>
      <c r="G15" s="81"/>
      <c r="H15" s="81"/>
      <c r="I15" s="81"/>
    </row>
    <row r="16" customFormat="false" ht="31.5" hidden="false" customHeight="true" outlineLevel="0" collapsed="false">
      <c r="A16" s="74" t="s">
        <v>107</v>
      </c>
      <c r="B16" s="79" t="n">
        <f aca="false">MEDIAN(B5,B6,B7,B8)</f>
        <v>5</v>
      </c>
      <c r="C16" s="80" t="n">
        <f aca="false">MEDIAN(E5,E6,E7,E8)</f>
        <v>0.55</v>
      </c>
      <c r="D16" s="77" t="s">
        <v>108</v>
      </c>
      <c r="E16" s="77"/>
      <c r="F16" s="77"/>
      <c r="G16" s="77"/>
      <c r="H16" s="77"/>
      <c r="I16" s="77"/>
    </row>
    <row r="17" customFormat="false" ht="42.75" hidden="false" customHeight="true" outlineLevel="0" collapsed="false">
      <c r="A17" s="78" t="s">
        <v>109</v>
      </c>
      <c r="B17" s="79" t="n">
        <f aca="false">STDEV(B5,B6,B7,B8)</f>
        <v>0.5</v>
      </c>
      <c r="C17" s="80" t="n">
        <f aca="false">STDEV(E5,E6,E7,E8)</f>
        <v>0.275378527364305</v>
      </c>
      <c r="D17" s="81" t="s">
        <v>110</v>
      </c>
      <c r="E17" s="81"/>
      <c r="F17" s="81"/>
      <c r="G17" s="81"/>
      <c r="H17" s="81"/>
      <c r="I17" s="81"/>
    </row>
    <row r="18" customFormat="false" ht="48" hidden="false" customHeight="true" outlineLevel="0" collapsed="false">
      <c r="A18" s="74" t="s">
        <v>111</v>
      </c>
      <c r="B18" s="82" t="n">
        <f aca="false">STDEV(B5,B6,B7,B8)/AVERAGE(B5,B6,B7,B8)</f>
        <v>0.105263157894737</v>
      </c>
      <c r="C18" s="83" t="n">
        <f aca="false">STDEV(E5,E6,E7,E8)/AVERAGE(E5,E6,E7,E8)</f>
        <v>0.478919178024879</v>
      </c>
      <c r="D18" s="77" t="s">
        <v>112</v>
      </c>
      <c r="E18" s="77"/>
      <c r="F18" s="77"/>
      <c r="G18" s="77"/>
      <c r="H18" s="77"/>
      <c r="I18" s="77"/>
    </row>
    <row r="19" customFormat="false" ht="31.5" hidden="false" customHeight="true" outlineLevel="0" collapsed="false">
      <c r="A19" s="78" t="s">
        <v>113</v>
      </c>
      <c r="B19" s="79" t="n">
        <f aca="false">AVERAGE(B5,B6,B7,B8)-2*STDEV(B5,B6,B7,B8)</f>
        <v>3.75</v>
      </c>
      <c r="C19" s="80" t="n">
        <f aca="false">AVERAGE(E5,E6,E7,E8)-2*STDEV(E5,E6,E7,E8)</f>
        <v>0.0242429452713897</v>
      </c>
      <c r="D19" s="81" t="s">
        <v>114</v>
      </c>
      <c r="E19" s="81"/>
      <c r="F19" s="81"/>
      <c r="G19" s="81"/>
      <c r="H19" s="81"/>
      <c r="I19" s="81"/>
    </row>
    <row r="20" customFormat="false" ht="31.5" hidden="false" customHeight="true" outlineLevel="0" collapsed="false">
      <c r="A20" s="78" t="s">
        <v>115</v>
      </c>
      <c r="B20" s="79" t="n">
        <f aca="false">AVERAGE(B5,B6,B7,B8)+2*STDEV(B5,B6,B7,B8)</f>
        <v>5.75</v>
      </c>
      <c r="C20" s="80" t="n">
        <f aca="false">AVERAGE(E5,E6,E7,E8)+2*STDEV(E5,E6,E7,E8)</f>
        <v>1.12575705472861</v>
      </c>
      <c r="D20" s="77" t="s">
        <v>116</v>
      </c>
      <c r="E20" s="77"/>
      <c r="F20" s="77"/>
      <c r="G20" s="77"/>
      <c r="H20" s="77"/>
      <c r="I20" s="77"/>
    </row>
  </sheetData>
  <mergeCells count="11">
    <mergeCell ref="A1:I1"/>
    <mergeCell ref="A3:F3"/>
    <mergeCell ref="A12:I12"/>
    <mergeCell ref="D13:I13"/>
    <mergeCell ref="D14:I14"/>
    <mergeCell ref="D15:I15"/>
    <mergeCell ref="D16:I16"/>
    <mergeCell ref="D17:I17"/>
    <mergeCell ref="D18:I18"/>
    <mergeCell ref="D19:I19"/>
    <mergeCell ref="D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50"/>
    <col collapsed="false" customWidth="true" hidden="false" outlineLevel="0" max="3" min="3" style="1" width="6"/>
    <col collapsed="false" customWidth="true" hidden="false" outlineLevel="0" max="6" min="4" style="1" width="9"/>
    <col collapsed="false" customWidth="true" hidden="false" outlineLevel="0" max="7" min="7" style="1" width="6"/>
    <col collapsed="false" customWidth="true" hidden="false" outlineLevel="0" max="10" min="8" style="1" width="9"/>
    <col collapsed="false" customWidth="true" hidden="false" outlineLevel="0" max="11" min="11" style="1" width="16"/>
  </cols>
  <sheetData>
    <row r="1" customFormat="false" ht="17.25" hidden="false" customHeight="true" outlineLevel="0" collapsed="false">
      <c r="A1" s="84" t="s">
        <v>117</v>
      </c>
    </row>
    <row r="2" customFormat="false" ht="30" hidden="false" customHeight="true" outlineLevel="0" collapsed="false">
      <c r="A2" s="85" t="s">
        <v>118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4" customFormat="false" ht="21.75" hidden="false" customHeight="true" outlineLevel="0" collapsed="false">
      <c r="A4" s="86" t="s">
        <v>54</v>
      </c>
      <c r="B4" s="86" t="s">
        <v>119</v>
      </c>
      <c r="C4" s="86" t="s">
        <v>120</v>
      </c>
      <c r="D4" s="86" t="s">
        <v>121</v>
      </c>
      <c r="E4" s="86" t="s">
        <v>122</v>
      </c>
      <c r="F4" s="86" t="s">
        <v>123</v>
      </c>
      <c r="G4" s="86" t="s">
        <v>120</v>
      </c>
      <c r="H4" s="86" t="s">
        <v>124</v>
      </c>
      <c r="I4" s="86" t="s">
        <v>125</v>
      </c>
      <c r="J4" s="86" t="s">
        <v>126</v>
      </c>
      <c r="K4" s="86" t="s">
        <v>127</v>
      </c>
    </row>
    <row r="5" customFormat="false" ht="15" hidden="false" customHeight="true" outlineLevel="0" collapsed="false">
      <c r="A5" s="87" t="s">
        <v>128</v>
      </c>
      <c r="B5" s="88" t="s">
        <v>129</v>
      </c>
      <c r="C5" s="89" t="n">
        <v>6</v>
      </c>
      <c r="D5" s="90" t="n">
        <v>0.5</v>
      </c>
      <c r="E5" s="90" t="n">
        <v>1.11</v>
      </c>
      <c r="F5" s="90" t="n">
        <v>2.45</v>
      </c>
      <c r="G5" s="89" t="n">
        <v>16</v>
      </c>
      <c r="H5" s="90" t="n">
        <v>0.066</v>
      </c>
      <c r="I5" s="90" t="n">
        <v>0.108</v>
      </c>
      <c r="J5" s="90" t="n">
        <v>0.186</v>
      </c>
      <c r="K5" s="91" t="s">
        <v>130</v>
      </c>
    </row>
    <row r="6" customFormat="false" ht="15" hidden="false" customHeight="true" outlineLevel="0" collapsed="false">
      <c r="A6" s="87" t="s">
        <v>128</v>
      </c>
      <c r="B6" s="88" t="s">
        <v>131</v>
      </c>
      <c r="C6" s="89" t="n">
        <v>6</v>
      </c>
      <c r="D6" s="90" t="n">
        <v>0.905</v>
      </c>
      <c r="E6" s="90" t="n">
        <v>3.089</v>
      </c>
      <c r="F6" s="90" t="n">
        <v>6.6</v>
      </c>
      <c r="G6" s="89" t="n">
        <v>16</v>
      </c>
      <c r="H6" s="90" t="n">
        <v>0.066</v>
      </c>
      <c r="I6" s="90" t="n">
        <v>0.148</v>
      </c>
      <c r="J6" s="90" t="n">
        <v>0.379</v>
      </c>
      <c r="K6" s="91" t="s">
        <v>130</v>
      </c>
    </row>
    <row r="7" customFormat="false" ht="21.75" hidden="false" customHeight="true" outlineLevel="0" collapsed="false">
      <c r="A7" s="87" t="s">
        <v>128</v>
      </c>
      <c r="B7" s="88" t="s">
        <v>132</v>
      </c>
      <c r="C7" s="89" t="n">
        <v>6</v>
      </c>
      <c r="D7" s="90" t="n">
        <v>0.944</v>
      </c>
      <c r="E7" s="90" t="n">
        <v>3.014</v>
      </c>
      <c r="F7" s="90" t="n">
        <v>5.52</v>
      </c>
      <c r="G7" s="89" t="n">
        <v>16</v>
      </c>
      <c r="H7" s="90" t="n">
        <v>0.095</v>
      </c>
      <c r="I7" s="90" t="n">
        <v>0.286</v>
      </c>
      <c r="J7" s="90" t="n">
        <v>0.69</v>
      </c>
      <c r="K7" s="91" t="s">
        <v>130</v>
      </c>
    </row>
    <row r="8" customFormat="false" ht="15" hidden="false" customHeight="true" outlineLevel="0" collapsed="false">
      <c r="A8" s="87" t="s">
        <v>128</v>
      </c>
      <c r="B8" s="88" t="s">
        <v>133</v>
      </c>
      <c r="C8" s="89" t="n">
        <v>6</v>
      </c>
      <c r="D8" s="90" t="n">
        <v>0.381</v>
      </c>
      <c r="E8" s="90" t="n">
        <v>0.931</v>
      </c>
      <c r="F8" s="90" t="n">
        <v>2.15</v>
      </c>
      <c r="G8" s="89" t="n">
        <v>15</v>
      </c>
      <c r="H8" s="90" t="n">
        <v>0.051</v>
      </c>
      <c r="I8" s="90" t="n">
        <v>0.084</v>
      </c>
      <c r="J8" s="90" t="n">
        <v>0.124</v>
      </c>
      <c r="K8" s="91" t="s">
        <v>130</v>
      </c>
    </row>
    <row r="9" customFormat="false" ht="15" hidden="false" customHeight="true" outlineLevel="0" collapsed="false">
      <c r="A9" s="87" t="s">
        <v>134</v>
      </c>
      <c r="B9" s="88" t="s">
        <v>135</v>
      </c>
      <c r="C9" s="89" t="n">
        <v>6</v>
      </c>
      <c r="D9" s="90" t="n">
        <v>0.394</v>
      </c>
      <c r="E9" s="90" t="n">
        <v>1.048</v>
      </c>
      <c r="F9" s="90" t="n">
        <v>2.14</v>
      </c>
      <c r="G9" s="89" t="n">
        <v>16</v>
      </c>
      <c r="H9" s="90" t="n">
        <v>0.051</v>
      </c>
      <c r="I9" s="90" t="n">
        <v>0.086</v>
      </c>
      <c r="J9" s="90" t="n">
        <v>0.11</v>
      </c>
      <c r="K9" s="91" t="s">
        <v>130</v>
      </c>
    </row>
    <row r="10" customFormat="false" ht="15" hidden="false" customHeight="true" outlineLevel="0" collapsed="false">
      <c r="A10" s="87" t="s">
        <v>134</v>
      </c>
      <c r="B10" s="88" t="s">
        <v>136</v>
      </c>
      <c r="C10" s="89" t="n">
        <v>6</v>
      </c>
      <c r="D10" s="90" t="n">
        <v>0.843</v>
      </c>
      <c r="E10" s="90" t="n">
        <v>4.389</v>
      </c>
      <c r="F10" s="90" t="n">
        <v>11.3</v>
      </c>
      <c r="G10" s="89" t="n">
        <v>16</v>
      </c>
      <c r="H10" s="90" t="n">
        <v>0.051</v>
      </c>
      <c r="I10" s="90" t="n">
        <v>0.286</v>
      </c>
      <c r="J10" s="90" t="n">
        <v>1.36</v>
      </c>
      <c r="K10" s="91" t="s">
        <v>130</v>
      </c>
    </row>
    <row r="11" customFormat="false" ht="15" hidden="false" customHeight="true" outlineLevel="0" collapsed="false">
      <c r="A11" s="87" t="s">
        <v>134</v>
      </c>
      <c r="B11" s="88" t="s">
        <v>137</v>
      </c>
      <c r="C11" s="89" t="n">
        <v>6</v>
      </c>
      <c r="D11" s="90" t="n">
        <v>0.9</v>
      </c>
      <c r="E11" s="90" t="n">
        <v>2.187</v>
      </c>
      <c r="F11" s="90" t="n">
        <v>4.11</v>
      </c>
      <c r="G11" s="89" t="n">
        <v>16</v>
      </c>
      <c r="H11" s="90" t="n">
        <v>0.095</v>
      </c>
      <c r="I11" s="90" t="n">
        <v>0.223</v>
      </c>
      <c r="J11" s="90" t="n">
        <v>0.982</v>
      </c>
      <c r="K11" s="91" t="s">
        <v>130</v>
      </c>
    </row>
    <row r="12" customFormat="false" ht="21.75" hidden="false" customHeight="true" outlineLevel="0" collapsed="false">
      <c r="A12" s="87" t="s">
        <v>134</v>
      </c>
      <c r="B12" s="88" t="s">
        <v>138</v>
      </c>
      <c r="C12" s="89" t="n">
        <v>6</v>
      </c>
      <c r="D12" s="90" t="n">
        <v>2.21</v>
      </c>
      <c r="E12" s="90" t="n">
        <v>3.193</v>
      </c>
      <c r="F12" s="90" t="n">
        <v>4.42</v>
      </c>
      <c r="G12" s="89" t="n">
        <v>15</v>
      </c>
      <c r="H12" s="90" t="n">
        <v>0.095</v>
      </c>
      <c r="I12" s="90" t="n">
        <v>0.411</v>
      </c>
      <c r="J12" s="90" t="n">
        <v>1.11</v>
      </c>
      <c r="K12" s="91" t="s">
        <v>130</v>
      </c>
    </row>
    <row r="13" customFormat="false" ht="15" hidden="false" customHeight="true" outlineLevel="0" collapsed="false">
      <c r="A13" s="87" t="s">
        <v>139</v>
      </c>
      <c r="B13" s="88" t="s">
        <v>140</v>
      </c>
      <c r="C13" s="89" t="n">
        <v>5</v>
      </c>
      <c r="D13" s="90" t="n">
        <v>2.36</v>
      </c>
      <c r="E13" s="90" t="n">
        <v>2.808</v>
      </c>
      <c r="F13" s="90" t="n">
        <v>3.4</v>
      </c>
      <c r="G13" s="89" t="n">
        <v>16</v>
      </c>
      <c r="H13" s="90" t="n">
        <v>0.096</v>
      </c>
      <c r="I13" s="90" t="n">
        <v>0.396</v>
      </c>
      <c r="J13" s="90" t="n">
        <v>0.754</v>
      </c>
      <c r="K13" s="91" t="s">
        <v>130</v>
      </c>
    </row>
    <row r="14" customFormat="false" ht="15" hidden="false" customHeight="true" outlineLevel="0" collapsed="false">
      <c r="A14" s="87" t="s">
        <v>141</v>
      </c>
      <c r="B14" s="88" t="s">
        <v>142</v>
      </c>
      <c r="C14" s="89" t="n">
        <v>1</v>
      </c>
      <c r="D14" s="90" t="n">
        <v>4.77</v>
      </c>
      <c r="E14" s="90" t="n">
        <v>4.77</v>
      </c>
      <c r="F14" s="90" t="n">
        <v>4.77</v>
      </c>
      <c r="G14" s="89" t="n">
        <v>5</v>
      </c>
      <c r="H14" s="90" t="n">
        <v>0.066</v>
      </c>
      <c r="I14" s="90" t="n">
        <v>0.316</v>
      </c>
      <c r="J14" s="90" t="n">
        <v>0.531</v>
      </c>
      <c r="K14" s="91" t="s">
        <v>143</v>
      </c>
    </row>
    <row r="15" customFormat="false" ht="15" hidden="false" customHeight="true" outlineLevel="0" collapsed="false">
      <c r="A15" s="87" t="s">
        <v>141</v>
      </c>
      <c r="B15" s="88" t="s">
        <v>144</v>
      </c>
      <c r="C15" s="89" t="n">
        <v>1</v>
      </c>
      <c r="D15" s="90" t="n">
        <v>7.54</v>
      </c>
      <c r="E15" s="90" t="n">
        <v>7.54</v>
      </c>
      <c r="F15" s="90" t="n">
        <v>7.54</v>
      </c>
      <c r="G15" s="89" t="n">
        <v>5</v>
      </c>
      <c r="H15" s="90" t="n">
        <v>0.221</v>
      </c>
      <c r="I15" s="90" t="n">
        <v>0.618</v>
      </c>
      <c r="J15" s="90" t="n">
        <v>0.957</v>
      </c>
      <c r="K15" s="91" t="s">
        <v>143</v>
      </c>
    </row>
    <row r="16" customFormat="false" ht="15" hidden="false" customHeight="true" outlineLevel="0" collapsed="false">
      <c r="A16" s="87" t="s">
        <v>141</v>
      </c>
      <c r="B16" s="88" t="s">
        <v>145</v>
      </c>
      <c r="C16" s="89" t="n">
        <v>1</v>
      </c>
      <c r="D16" s="90" t="n">
        <v>4.98</v>
      </c>
      <c r="E16" s="90" t="n">
        <v>4.98</v>
      </c>
      <c r="F16" s="90" t="n">
        <v>4.98</v>
      </c>
      <c r="G16" s="89" t="n">
        <v>5</v>
      </c>
      <c r="H16" s="90" t="n">
        <v>0.317</v>
      </c>
      <c r="I16" s="90" t="n">
        <v>0.675</v>
      </c>
      <c r="J16" s="90" t="n">
        <v>1.28</v>
      </c>
      <c r="K16" s="91" t="s">
        <v>143</v>
      </c>
    </row>
    <row r="17" customFormat="false" ht="15" hidden="false" customHeight="true" outlineLevel="0" collapsed="false">
      <c r="A17" s="87" t="s">
        <v>146</v>
      </c>
      <c r="B17" s="88" t="s">
        <v>147</v>
      </c>
      <c r="C17" s="89" t="n">
        <v>9</v>
      </c>
      <c r="D17" s="90" t="n">
        <v>0.16</v>
      </c>
      <c r="E17" s="90" t="n">
        <v>0.583</v>
      </c>
      <c r="F17" s="90" t="n">
        <v>1.12</v>
      </c>
      <c r="G17" s="89" t="n">
        <v>10</v>
      </c>
      <c r="H17" s="90" t="n">
        <v>0.1</v>
      </c>
      <c r="I17" s="90" t="n">
        <v>0.286</v>
      </c>
      <c r="J17" s="90" t="n">
        <v>1</v>
      </c>
      <c r="K17" s="91" t="s">
        <v>130</v>
      </c>
    </row>
    <row r="18" customFormat="false" ht="15" hidden="false" customHeight="true" outlineLevel="0" collapsed="false">
      <c r="A18" s="87" t="s">
        <v>146</v>
      </c>
      <c r="B18" s="88" t="s">
        <v>148</v>
      </c>
      <c r="C18" s="89" t="n">
        <v>9</v>
      </c>
      <c r="D18" s="90" t="n">
        <v>0.45</v>
      </c>
      <c r="E18" s="90" t="n">
        <v>0.898</v>
      </c>
      <c r="F18" s="90" t="n">
        <v>1.66</v>
      </c>
      <c r="G18" s="89" t="n">
        <v>10</v>
      </c>
      <c r="H18" s="90" t="n">
        <v>0.1</v>
      </c>
      <c r="I18" s="90" t="n">
        <v>0.99</v>
      </c>
      <c r="J18" s="90" t="n">
        <v>2.87</v>
      </c>
      <c r="K18" s="91" t="s">
        <v>130</v>
      </c>
    </row>
    <row r="19" customFormat="false" ht="15" hidden="false" customHeight="true" outlineLevel="0" collapsed="false">
      <c r="A19" s="87" t="s">
        <v>146</v>
      </c>
      <c r="B19" s="88" t="s">
        <v>149</v>
      </c>
      <c r="C19" s="89" t="n">
        <v>9</v>
      </c>
      <c r="D19" s="90" t="n">
        <v>0.5</v>
      </c>
      <c r="E19" s="90" t="n">
        <v>0.983</v>
      </c>
      <c r="F19" s="90" t="n">
        <v>2.02</v>
      </c>
      <c r="G19" s="89" t="n">
        <v>10</v>
      </c>
      <c r="H19" s="90" t="n">
        <v>0.1</v>
      </c>
      <c r="I19" s="90" t="n">
        <v>0.798</v>
      </c>
      <c r="J19" s="90" t="n">
        <v>1.95</v>
      </c>
      <c r="K19" s="91" t="s">
        <v>130</v>
      </c>
    </row>
    <row r="20" customFormat="false" ht="15" hidden="false" customHeight="true" outlineLevel="0" collapsed="false">
      <c r="A20" s="87" t="s">
        <v>146</v>
      </c>
      <c r="B20" s="88" t="s">
        <v>150</v>
      </c>
      <c r="C20" s="89" t="n">
        <v>9</v>
      </c>
      <c r="D20" s="90" t="n">
        <v>0.16</v>
      </c>
      <c r="E20" s="90" t="n">
        <v>0.596</v>
      </c>
      <c r="F20" s="90" t="n">
        <v>1.12</v>
      </c>
      <c r="G20" s="89" t="n">
        <v>10</v>
      </c>
      <c r="H20" s="90" t="n">
        <v>0.1</v>
      </c>
      <c r="I20" s="90" t="n">
        <v>0.711</v>
      </c>
      <c r="J20" s="90" t="n">
        <v>2.58</v>
      </c>
      <c r="K20" s="91" t="s">
        <v>151</v>
      </c>
    </row>
    <row r="21" customFormat="false" ht="15" hidden="false" customHeight="true" outlineLevel="0" collapsed="false">
      <c r="A21" s="87" t="s">
        <v>146</v>
      </c>
      <c r="B21" s="88" t="s">
        <v>152</v>
      </c>
      <c r="C21" s="89" t="n">
        <v>9</v>
      </c>
      <c r="D21" s="90" t="n">
        <v>0.45</v>
      </c>
      <c r="E21" s="90" t="n">
        <v>0.852</v>
      </c>
      <c r="F21" s="90" t="n">
        <v>1.7</v>
      </c>
      <c r="G21" s="89" t="n">
        <v>10</v>
      </c>
      <c r="H21" s="90" t="n">
        <v>0.1</v>
      </c>
      <c r="I21" s="90" t="n">
        <v>0.921</v>
      </c>
      <c r="J21" s="90" t="n">
        <v>3.63</v>
      </c>
      <c r="K21" s="91" t="s">
        <v>151</v>
      </c>
    </row>
    <row r="22" customFormat="false" ht="15" hidden="false" customHeight="true" outlineLevel="0" collapsed="false">
      <c r="A22" s="87" t="s">
        <v>146</v>
      </c>
      <c r="B22" s="88" t="s">
        <v>153</v>
      </c>
      <c r="C22" s="89" t="n">
        <v>9</v>
      </c>
      <c r="D22" s="90" t="n">
        <v>0.41</v>
      </c>
      <c r="E22" s="90" t="n">
        <v>0.907</v>
      </c>
      <c r="F22" s="90" t="n">
        <v>1.57</v>
      </c>
      <c r="G22" s="89" t="n">
        <v>10</v>
      </c>
      <c r="H22" s="90" t="n">
        <v>0.1</v>
      </c>
      <c r="I22" s="90" t="n">
        <v>0.561</v>
      </c>
      <c r="J22" s="90" t="n">
        <v>1.88</v>
      </c>
      <c r="K22" s="91" t="s">
        <v>151</v>
      </c>
    </row>
    <row r="23" customFormat="false" ht="15" hidden="false" customHeight="true" outlineLevel="0" collapsed="false">
      <c r="A23" s="87" t="s">
        <v>146</v>
      </c>
      <c r="B23" s="88" t="s">
        <v>154</v>
      </c>
      <c r="C23" s="89" t="n">
        <v>9</v>
      </c>
      <c r="D23" s="90" t="n">
        <v>0.2</v>
      </c>
      <c r="E23" s="90" t="n">
        <v>0.581</v>
      </c>
      <c r="F23" s="90" t="n">
        <v>0.93</v>
      </c>
      <c r="G23" s="89" t="n">
        <v>10</v>
      </c>
      <c r="H23" s="90" t="n">
        <v>0.1</v>
      </c>
      <c r="I23" s="90" t="n">
        <v>0.564</v>
      </c>
      <c r="J23" s="90" t="n">
        <v>2.78</v>
      </c>
      <c r="K23" s="91" t="s">
        <v>151</v>
      </c>
    </row>
    <row r="24" customFormat="false" ht="15" hidden="false" customHeight="true" outlineLevel="0" collapsed="false">
      <c r="A24" s="87" t="s">
        <v>146</v>
      </c>
      <c r="B24" s="88" t="s">
        <v>155</v>
      </c>
      <c r="C24" s="89" t="n">
        <v>8</v>
      </c>
      <c r="D24" s="90" t="n">
        <v>0.5</v>
      </c>
      <c r="E24" s="90" t="n">
        <v>0.64</v>
      </c>
      <c r="F24" s="90" t="n">
        <v>1.1</v>
      </c>
      <c r="G24" s="89" t="n">
        <v>9</v>
      </c>
      <c r="H24" s="90" t="n">
        <v>0.1</v>
      </c>
      <c r="I24" s="90" t="n">
        <v>0.411</v>
      </c>
      <c r="J24" s="90" t="n">
        <v>1.44</v>
      </c>
      <c r="K24" s="91" t="s">
        <v>151</v>
      </c>
    </row>
    <row r="25" customFormat="false" ht="15" hidden="false" customHeight="true" outlineLevel="0" collapsed="false">
      <c r="A25" s="87" t="s">
        <v>146</v>
      </c>
      <c r="B25" s="88" t="s">
        <v>156</v>
      </c>
      <c r="C25" s="89" t="n">
        <v>0</v>
      </c>
      <c r="D25" s="90"/>
      <c r="E25" s="90"/>
      <c r="F25" s="90"/>
      <c r="G25" s="89" t="n">
        <v>0</v>
      </c>
      <c r="H25" s="90"/>
      <c r="I25" s="90"/>
      <c r="J25" s="90"/>
      <c r="K25" s="91" t="s">
        <v>157</v>
      </c>
    </row>
    <row r="26" customFormat="false" ht="15" hidden="false" customHeight="true" outlineLevel="0" collapsed="false">
      <c r="A26" s="87" t="s">
        <v>158</v>
      </c>
      <c r="B26" s="88" t="s">
        <v>159</v>
      </c>
      <c r="C26" s="89" t="n">
        <v>9</v>
      </c>
      <c r="D26" s="90" t="n">
        <v>0.5</v>
      </c>
      <c r="E26" s="90" t="n">
        <v>0.513</v>
      </c>
      <c r="F26" s="90" t="n">
        <v>0.6</v>
      </c>
      <c r="G26" s="89" t="n">
        <v>11</v>
      </c>
      <c r="H26" s="90" t="n">
        <v>0.1</v>
      </c>
      <c r="I26" s="90" t="n">
        <v>0.168</v>
      </c>
      <c r="J26" s="90" t="n">
        <v>0.64</v>
      </c>
      <c r="K26" s="91" t="s">
        <v>160</v>
      </c>
    </row>
    <row r="27" customFormat="false" ht="15" hidden="false" customHeight="true" outlineLevel="0" collapsed="false">
      <c r="A27" s="87" t="s">
        <v>158</v>
      </c>
      <c r="B27" s="88" t="s">
        <v>161</v>
      </c>
      <c r="C27" s="89" t="n">
        <v>9</v>
      </c>
      <c r="D27" s="90" t="n">
        <v>0.5</v>
      </c>
      <c r="E27" s="90" t="n">
        <v>0.523</v>
      </c>
      <c r="F27" s="90" t="n">
        <v>0.7</v>
      </c>
      <c r="G27" s="89" t="n">
        <v>11</v>
      </c>
      <c r="H27" s="90" t="n">
        <v>0.1</v>
      </c>
      <c r="I27" s="90" t="n">
        <v>0.194</v>
      </c>
      <c r="J27" s="90" t="n">
        <v>0.37</v>
      </c>
      <c r="K27" s="91" t="s">
        <v>160</v>
      </c>
    </row>
    <row r="28" customFormat="false" ht="15" hidden="false" customHeight="true" outlineLevel="0" collapsed="false">
      <c r="A28" s="87" t="s">
        <v>158</v>
      </c>
      <c r="B28" s="88" t="s">
        <v>162</v>
      </c>
      <c r="C28" s="89" t="n">
        <v>9</v>
      </c>
      <c r="D28" s="90" t="n">
        <v>0.5</v>
      </c>
      <c r="E28" s="90" t="n">
        <v>0.708</v>
      </c>
      <c r="F28" s="90" t="n">
        <v>1.8</v>
      </c>
      <c r="G28" s="89" t="n">
        <v>11</v>
      </c>
      <c r="H28" s="90" t="n">
        <v>0.1</v>
      </c>
      <c r="I28" s="90" t="n">
        <v>0.333</v>
      </c>
      <c r="J28" s="90" t="n">
        <v>1.73</v>
      </c>
      <c r="K28" s="91" t="s">
        <v>160</v>
      </c>
    </row>
    <row r="29" customFormat="false" ht="15" hidden="false" customHeight="true" outlineLevel="0" collapsed="false">
      <c r="A29" s="87" t="s">
        <v>163</v>
      </c>
      <c r="B29" s="88" t="s">
        <v>164</v>
      </c>
      <c r="C29" s="89" t="n">
        <v>8</v>
      </c>
      <c r="D29" s="90" t="n">
        <v>0.366</v>
      </c>
      <c r="E29" s="90" t="n">
        <v>1.195</v>
      </c>
      <c r="F29" s="90" t="n">
        <v>3.4</v>
      </c>
      <c r="G29" s="89" t="n">
        <v>19</v>
      </c>
      <c r="H29" s="90" t="n">
        <v>0.051</v>
      </c>
      <c r="I29" s="90" t="n">
        <v>0.146</v>
      </c>
      <c r="J29" s="90" t="n">
        <v>1.13</v>
      </c>
      <c r="K29" s="91" t="s">
        <v>130</v>
      </c>
    </row>
    <row r="30" customFormat="false" ht="15" hidden="false" customHeight="true" outlineLevel="0" collapsed="false">
      <c r="A30" s="87" t="s">
        <v>163</v>
      </c>
      <c r="B30" s="88" t="s">
        <v>165</v>
      </c>
      <c r="C30" s="89" t="n">
        <v>7</v>
      </c>
      <c r="D30" s="90" t="n">
        <v>0.805</v>
      </c>
      <c r="E30" s="90" t="n">
        <v>1.687</v>
      </c>
      <c r="F30" s="90" t="n">
        <v>3.78</v>
      </c>
      <c r="G30" s="89" t="n">
        <v>19</v>
      </c>
      <c r="H30" s="90" t="n">
        <v>0.051</v>
      </c>
      <c r="I30" s="90" t="n">
        <v>0.275</v>
      </c>
      <c r="J30" s="90" t="n">
        <v>1.7</v>
      </c>
      <c r="K30" s="91" t="s">
        <v>130</v>
      </c>
    </row>
    <row r="31" customFormat="false" ht="15" hidden="false" customHeight="true" outlineLevel="0" collapsed="false">
      <c r="A31" s="87" t="s">
        <v>163</v>
      </c>
      <c r="B31" s="88" t="s">
        <v>166</v>
      </c>
      <c r="C31" s="89" t="n">
        <v>7</v>
      </c>
      <c r="D31" s="90" t="n">
        <v>0.866</v>
      </c>
      <c r="E31" s="90" t="n">
        <v>1.677</v>
      </c>
      <c r="F31" s="90" t="n">
        <v>3.72</v>
      </c>
      <c r="G31" s="89" t="n">
        <v>19</v>
      </c>
      <c r="H31" s="90" t="n">
        <v>0.051</v>
      </c>
      <c r="I31" s="90" t="n">
        <v>0.216</v>
      </c>
      <c r="J31" s="90" t="n">
        <v>0.792</v>
      </c>
      <c r="K31" s="91" t="s">
        <v>130</v>
      </c>
    </row>
    <row r="32" customFormat="false" ht="15" hidden="false" customHeight="true" outlineLevel="0" collapsed="false">
      <c r="A32" s="87" t="s">
        <v>163</v>
      </c>
      <c r="B32" s="88" t="s">
        <v>167</v>
      </c>
      <c r="C32" s="89" t="n">
        <v>6</v>
      </c>
      <c r="D32" s="90" t="n">
        <v>0.486</v>
      </c>
      <c r="E32" s="90" t="n">
        <v>1.107</v>
      </c>
      <c r="F32" s="90" t="n">
        <v>2.24</v>
      </c>
      <c r="G32" s="89" t="n">
        <v>18</v>
      </c>
      <c r="H32" s="90" t="n">
        <v>0.051</v>
      </c>
      <c r="I32" s="90" t="n">
        <v>0.088</v>
      </c>
      <c r="J32" s="90" t="n">
        <v>0.174</v>
      </c>
      <c r="K32" s="91" t="s">
        <v>130</v>
      </c>
    </row>
    <row r="33" customFormat="false" ht="15" hidden="false" customHeight="true" outlineLevel="0" collapsed="false">
      <c r="A33" s="87" t="s">
        <v>163</v>
      </c>
      <c r="B33" s="88" t="s">
        <v>168</v>
      </c>
      <c r="C33" s="89" t="n">
        <v>3</v>
      </c>
      <c r="D33" s="90" t="n">
        <v>0.5</v>
      </c>
      <c r="E33" s="90" t="n">
        <v>1.228</v>
      </c>
      <c r="F33" s="90" t="n">
        <v>2.47</v>
      </c>
      <c r="G33" s="89" t="n">
        <v>15</v>
      </c>
      <c r="H33" s="90" t="n">
        <v>0.051</v>
      </c>
      <c r="I33" s="90" t="n">
        <v>0.084</v>
      </c>
      <c r="J33" s="90" t="n">
        <v>0.117</v>
      </c>
      <c r="K33" s="91" t="s">
        <v>169</v>
      </c>
    </row>
    <row r="34" customFormat="false" ht="15" hidden="false" customHeight="true" outlineLevel="0" collapsed="false">
      <c r="A34" s="87" t="s">
        <v>170</v>
      </c>
      <c r="B34" s="88" t="s">
        <v>171</v>
      </c>
      <c r="C34" s="89" t="n">
        <v>8</v>
      </c>
      <c r="D34" s="90" t="n">
        <v>0.52</v>
      </c>
      <c r="E34" s="90" t="n">
        <v>1.238</v>
      </c>
      <c r="F34" s="90" t="n">
        <v>3.2</v>
      </c>
      <c r="G34" s="89" t="n">
        <v>18</v>
      </c>
      <c r="H34" s="90" t="n">
        <v>0.051</v>
      </c>
      <c r="I34" s="90" t="n">
        <v>0.091</v>
      </c>
      <c r="J34" s="90" t="n">
        <v>0.164</v>
      </c>
      <c r="K34" s="91" t="s">
        <v>130</v>
      </c>
    </row>
    <row r="35" customFormat="false" ht="15" hidden="false" customHeight="true" outlineLevel="0" collapsed="false">
      <c r="A35" s="87" t="s">
        <v>170</v>
      </c>
      <c r="B35" s="88" t="s">
        <v>172</v>
      </c>
      <c r="C35" s="89" t="n">
        <v>7</v>
      </c>
      <c r="D35" s="90" t="n">
        <v>1.2</v>
      </c>
      <c r="E35" s="90" t="n">
        <v>2.971</v>
      </c>
      <c r="F35" s="90" t="n">
        <v>7.87</v>
      </c>
      <c r="G35" s="89" t="n">
        <v>18</v>
      </c>
      <c r="H35" s="90" t="n">
        <v>0.051</v>
      </c>
      <c r="I35" s="90" t="n">
        <v>0.427</v>
      </c>
      <c r="J35" s="90" t="n">
        <v>1.89</v>
      </c>
      <c r="K35" s="91" t="s">
        <v>130</v>
      </c>
    </row>
    <row r="36" customFormat="false" ht="15" hidden="false" customHeight="true" outlineLevel="0" collapsed="false">
      <c r="A36" s="87" t="s">
        <v>170</v>
      </c>
      <c r="B36" s="88" t="s">
        <v>173</v>
      </c>
      <c r="C36" s="89" t="n">
        <v>7</v>
      </c>
      <c r="D36" s="90" t="n">
        <v>0.683</v>
      </c>
      <c r="E36" s="90" t="n">
        <v>1.305</v>
      </c>
      <c r="F36" s="90" t="n">
        <v>3.03</v>
      </c>
      <c r="G36" s="89" t="n">
        <v>17</v>
      </c>
      <c r="H36" s="90" t="n">
        <v>0.051</v>
      </c>
      <c r="I36" s="90" t="n">
        <v>0.138</v>
      </c>
      <c r="J36" s="90" t="n">
        <v>0.802</v>
      </c>
      <c r="K36" s="91" t="s">
        <v>130</v>
      </c>
    </row>
    <row r="37" customFormat="false" ht="21.75" hidden="false" customHeight="true" outlineLevel="0" collapsed="false">
      <c r="A37" s="87" t="s">
        <v>174</v>
      </c>
      <c r="B37" s="88" t="s">
        <v>175</v>
      </c>
      <c r="C37" s="89" t="n">
        <v>7</v>
      </c>
      <c r="D37" s="90" t="n">
        <v>0.488</v>
      </c>
      <c r="E37" s="90" t="n">
        <v>0.922</v>
      </c>
      <c r="F37" s="90" t="n">
        <v>1.76</v>
      </c>
      <c r="G37" s="89" t="n">
        <v>17</v>
      </c>
      <c r="H37" s="90" t="n">
        <v>0.051</v>
      </c>
      <c r="I37" s="90" t="n">
        <v>0.089</v>
      </c>
      <c r="J37" s="90" t="n">
        <v>0.128</v>
      </c>
      <c r="K37" s="91" t="s">
        <v>130</v>
      </c>
    </row>
    <row r="38" customFormat="false" ht="15" hidden="false" customHeight="true" outlineLevel="0" collapsed="false">
      <c r="A38" s="87" t="s">
        <v>174</v>
      </c>
      <c r="B38" s="88" t="s">
        <v>176</v>
      </c>
      <c r="C38" s="89" t="n">
        <v>7</v>
      </c>
      <c r="D38" s="90" t="n">
        <v>0.78</v>
      </c>
      <c r="E38" s="90" t="n">
        <v>1.363</v>
      </c>
      <c r="F38" s="90" t="n">
        <v>2.33</v>
      </c>
      <c r="G38" s="89" t="n">
        <v>17</v>
      </c>
      <c r="H38" s="90" t="n">
        <v>0.051</v>
      </c>
      <c r="I38" s="90" t="n">
        <v>0.138</v>
      </c>
      <c r="J38" s="90" t="n">
        <v>0.322</v>
      </c>
      <c r="K38" s="91" t="s">
        <v>130</v>
      </c>
    </row>
    <row r="39" customFormat="false" ht="15" hidden="false" customHeight="true" outlineLevel="0" collapsed="false">
      <c r="A39" s="87" t="s">
        <v>174</v>
      </c>
      <c r="B39" s="88" t="s">
        <v>177</v>
      </c>
      <c r="C39" s="89" t="n">
        <v>7</v>
      </c>
      <c r="D39" s="90" t="n">
        <v>0.896</v>
      </c>
      <c r="E39" s="90" t="n">
        <v>1.824</v>
      </c>
      <c r="F39" s="90" t="n">
        <v>2.7</v>
      </c>
      <c r="G39" s="89" t="n">
        <v>17</v>
      </c>
      <c r="H39" s="90" t="n">
        <v>0.051</v>
      </c>
      <c r="I39" s="90" t="n">
        <v>0.151</v>
      </c>
      <c r="J39" s="90" t="n">
        <v>0.297</v>
      </c>
      <c r="K39" s="91" t="s">
        <v>130</v>
      </c>
    </row>
    <row r="40" customFormat="false" ht="15" hidden="false" customHeight="true" outlineLevel="0" collapsed="false">
      <c r="A40" s="87" t="s">
        <v>174</v>
      </c>
      <c r="B40" s="88" t="s">
        <v>178</v>
      </c>
      <c r="C40" s="89" t="n">
        <v>8</v>
      </c>
      <c r="D40" s="90" t="n">
        <v>0.784</v>
      </c>
      <c r="E40" s="90" t="n">
        <v>1.188</v>
      </c>
      <c r="F40" s="90" t="n">
        <v>2.02</v>
      </c>
      <c r="G40" s="89" t="n">
        <v>15</v>
      </c>
      <c r="H40" s="90" t="n">
        <v>0.051</v>
      </c>
      <c r="I40" s="90" t="n">
        <v>0.098</v>
      </c>
      <c r="J40" s="90" t="n">
        <v>0.271</v>
      </c>
      <c r="K40" s="91" t="s">
        <v>130</v>
      </c>
    </row>
    <row r="41" customFormat="false" ht="15" hidden="false" customHeight="true" outlineLevel="0" collapsed="false">
      <c r="A41" s="87" t="s">
        <v>174</v>
      </c>
      <c r="B41" s="88" t="s">
        <v>179</v>
      </c>
      <c r="C41" s="89" t="n">
        <v>5</v>
      </c>
      <c r="D41" s="90" t="n">
        <v>0.923</v>
      </c>
      <c r="E41" s="90" t="n">
        <v>1.271</v>
      </c>
      <c r="F41" s="90" t="n">
        <v>1.94</v>
      </c>
      <c r="G41" s="89" t="n">
        <v>10</v>
      </c>
      <c r="H41" s="90" t="n">
        <v>0.051</v>
      </c>
      <c r="I41" s="90" t="n">
        <v>0.141</v>
      </c>
      <c r="J41" s="90" t="n">
        <v>0.423</v>
      </c>
      <c r="K41" s="91" t="s">
        <v>180</v>
      </c>
    </row>
    <row r="42" customFormat="false" ht="15" hidden="false" customHeight="true" outlineLevel="0" collapsed="false">
      <c r="A42" s="87" t="s">
        <v>174</v>
      </c>
      <c r="B42" s="88" t="s">
        <v>181</v>
      </c>
      <c r="C42" s="89" t="n">
        <v>2</v>
      </c>
      <c r="D42" s="90" t="n">
        <v>1.02</v>
      </c>
      <c r="E42" s="90" t="n">
        <v>1.13</v>
      </c>
      <c r="F42" s="90" t="n">
        <v>1.24</v>
      </c>
      <c r="G42" s="89" t="n">
        <v>7</v>
      </c>
      <c r="H42" s="90" t="n">
        <v>0.066</v>
      </c>
      <c r="I42" s="90" t="n">
        <v>0.093</v>
      </c>
      <c r="J42" s="90" t="n">
        <v>0.17</v>
      </c>
      <c r="K42" s="91" t="s">
        <v>130</v>
      </c>
    </row>
    <row r="43" customFormat="false" ht="15" hidden="false" customHeight="true" outlineLevel="0" collapsed="false">
      <c r="A43" s="87" t="s">
        <v>182</v>
      </c>
      <c r="B43" s="88" t="s">
        <v>183</v>
      </c>
      <c r="C43" s="89" t="n">
        <v>8</v>
      </c>
      <c r="D43" s="90" t="n">
        <v>0.602</v>
      </c>
      <c r="E43" s="90" t="n">
        <v>0.758</v>
      </c>
      <c r="F43" s="90" t="n">
        <v>1.18</v>
      </c>
      <c r="G43" s="89" t="n">
        <v>16</v>
      </c>
      <c r="H43" s="90" t="n">
        <v>0.051</v>
      </c>
      <c r="I43" s="90" t="n">
        <v>0.088</v>
      </c>
      <c r="J43" s="90" t="n">
        <v>0.113</v>
      </c>
      <c r="K43" s="91" t="s">
        <v>151</v>
      </c>
    </row>
    <row r="44" customFormat="false" ht="15" hidden="false" customHeight="true" outlineLevel="0" collapsed="false">
      <c r="A44" s="87" t="s">
        <v>182</v>
      </c>
      <c r="B44" s="88" t="s">
        <v>184</v>
      </c>
      <c r="C44" s="89" t="n">
        <v>8</v>
      </c>
      <c r="D44" s="90" t="n">
        <v>0.642</v>
      </c>
      <c r="E44" s="90" t="n">
        <v>0.784</v>
      </c>
      <c r="F44" s="90" t="n">
        <v>0.996</v>
      </c>
      <c r="G44" s="89" t="n">
        <v>16</v>
      </c>
      <c r="H44" s="90" t="n">
        <v>0.051</v>
      </c>
      <c r="I44" s="90" t="n">
        <v>0.088</v>
      </c>
      <c r="J44" s="90" t="n">
        <v>0.119</v>
      </c>
      <c r="K44" s="91" t="s">
        <v>151</v>
      </c>
    </row>
    <row r="45" customFormat="false" ht="15" hidden="false" customHeight="true" outlineLevel="0" collapsed="false">
      <c r="A45" s="87" t="s">
        <v>182</v>
      </c>
      <c r="B45" s="88" t="s">
        <v>185</v>
      </c>
      <c r="C45" s="89" t="n">
        <v>8</v>
      </c>
      <c r="D45" s="90" t="n">
        <v>0.709</v>
      </c>
      <c r="E45" s="90" t="n">
        <v>1.085</v>
      </c>
      <c r="F45" s="90" t="n">
        <v>2.84</v>
      </c>
      <c r="G45" s="89" t="n">
        <v>16</v>
      </c>
      <c r="H45" s="90" t="n">
        <v>0.051</v>
      </c>
      <c r="I45" s="90" t="n">
        <v>0.128</v>
      </c>
      <c r="J45" s="90" t="n">
        <v>0.343</v>
      </c>
      <c r="K45" s="91" t="s">
        <v>151</v>
      </c>
    </row>
    <row r="46" customFormat="false" ht="15" hidden="false" customHeight="true" outlineLevel="0" collapsed="false">
      <c r="A46" s="87" t="s">
        <v>182</v>
      </c>
      <c r="B46" s="88" t="s">
        <v>186</v>
      </c>
      <c r="C46" s="89" t="n">
        <v>8</v>
      </c>
      <c r="D46" s="90" t="n">
        <v>0.628</v>
      </c>
      <c r="E46" s="90" t="n">
        <v>1.166</v>
      </c>
      <c r="F46" s="90" t="n">
        <v>2.57</v>
      </c>
      <c r="G46" s="89" t="n">
        <v>16</v>
      </c>
      <c r="H46" s="90" t="n">
        <v>0.055</v>
      </c>
      <c r="I46" s="90" t="n">
        <v>0.125</v>
      </c>
      <c r="J46" s="90" t="n">
        <v>0.298</v>
      </c>
      <c r="K46" s="91" t="s">
        <v>151</v>
      </c>
    </row>
    <row r="47" customFormat="false" ht="15" hidden="false" customHeight="true" outlineLevel="0" collapsed="false">
      <c r="A47" s="87" t="s">
        <v>182</v>
      </c>
      <c r="B47" s="88" t="s">
        <v>187</v>
      </c>
      <c r="C47" s="89" t="n">
        <v>8</v>
      </c>
      <c r="D47" s="90" t="n">
        <v>1.23</v>
      </c>
      <c r="E47" s="90" t="n">
        <v>2.464</v>
      </c>
      <c r="F47" s="90" t="n">
        <v>3.42</v>
      </c>
      <c r="G47" s="89" t="n">
        <v>16</v>
      </c>
      <c r="H47" s="90" t="n">
        <v>0.095</v>
      </c>
      <c r="I47" s="90" t="n">
        <v>0.27</v>
      </c>
      <c r="J47" s="90" t="n">
        <v>0.435</v>
      </c>
      <c r="K47" s="91" t="s">
        <v>151</v>
      </c>
    </row>
    <row r="48" customFormat="false" ht="15" hidden="false" customHeight="true" outlineLevel="0" collapsed="false">
      <c r="A48" s="87" t="s">
        <v>182</v>
      </c>
      <c r="B48" s="88" t="s">
        <v>188</v>
      </c>
      <c r="C48" s="89" t="n">
        <v>0</v>
      </c>
      <c r="D48" s="90"/>
      <c r="E48" s="90"/>
      <c r="F48" s="90"/>
      <c r="G48" s="89" t="n">
        <v>2</v>
      </c>
      <c r="H48" s="90" t="n">
        <v>0.051</v>
      </c>
      <c r="I48" s="90" t="n">
        <v>0.111</v>
      </c>
      <c r="J48" s="90" t="n">
        <v>0.171</v>
      </c>
      <c r="K48" s="91" t="s">
        <v>189</v>
      </c>
    </row>
    <row r="49" customFormat="false" ht="15" hidden="false" customHeight="true" outlineLevel="0" collapsed="false">
      <c r="A49" s="87" t="s">
        <v>190</v>
      </c>
      <c r="B49" s="88" t="s">
        <v>191</v>
      </c>
      <c r="C49" s="89" t="n">
        <v>6</v>
      </c>
      <c r="D49" s="90" t="n">
        <v>0.463</v>
      </c>
      <c r="E49" s="90" t="n">
        <v>0.886</v>
      </c>
      <c r="F49" s="90" t="n">
        <v>1.61</v>
      </c>
      <c r="G49" s="89" t="n">
        <v>19</v>
      </c>
      <c r="H49" s="90" t="n">
        <v>0.051</v>
      </c>
      <c r="I49" s="90" t="n">
        <v>0.082</v>
      </c>
      <c r="J49" s="90" t="n">
        <v>0.096</v>
      </c>
      <c r="K49" s="91" t="s">
        <v>130</v>
      </c>
    </row>
    <row r="50" customFormat="false" ht="21.75" hidden="false" customHeight="true" outlineLevel="0" collapsed="false">
      <c r="A50" s="87" t="s">
        <v>190</v>
      </c>
      <c r="B50" s="88" t="s">
        <v>192</v>
      </c>
      <c r="C50" s="89" t="n">
        <v>6</v>
      </c>
      <c r="D50" s="90" t="n">
        <v>0.463</v>
      </c>
      <c r="E50" s="90" t="n">
        <v>0.839</v>
      </c>
      <c r="F50" s="90" t="n">
        <v>1.57</v>
      </c>
      <c r="G50" s="89" t="n">
        <v>19</v>
      </c>
      <c r="H50" s="90" t="n">
        <v>0.051</v>
      </c>
      <c r="I50" s="90" t="n">
        <v>0.081</v>
      </c>
      <c r="J50" s="90" t="n">
        <v>0.11</v>
      </c>
      <c r="K50" s="91" t="s">
        <v>130</v>
      </c>
    </row>
    <row r="51" customFormat="false" ht="15" hidden="false" customHeight="true" outlineLevel="0" collapsed="false">
      <c r="A51" s="87" t="s">
        <v>190</v>
      </c>
      <c r="B51" s="88" t="s">
        <v>193</v>
      </c>
      <c r="C51" s="89" t="n">
        <v>6</v>
      </c>
      <c r="D51" s="90" t="n">
        <v>0.463</v>
      </c>
      <c r="E51" s="90" t="n">
        <v>0.899</v>
      </c>
      <c r="F51" s="90" t="n">
        <v>1.71</v>
      </c>
      <c r="G51" s="89" t="n">
        <v>19</v>
      </c>
      <c r="H51" s="90" t="n">
        <v>0.051</v>
      </c>
      <c r="I51" s="90" t="n">
        <v>0.088</v>
      </c>
      <c r="J51" s="90" t="n">
        <v>0.211</v>
      </c>
      <c r="K51" s="91" t="s">
        <v>130</v>
      </c>
    </row>
    <row r="52" customFormat="false" ht="15" hidden="false" customHeight="true" outlineLevel="0" collapsed="false">
      <c r="A52" s="87" t="s">
        <v>190</v>
      </c>
      <c r="B52" s="88" t="s">
        <v>194</v>
      </c>
      <c r="C52" s="89" t="n">
        <v>6</v>
      </c>
      <c r="D52" s="90" t="n">
        <v>0.366</v>
      </c>
      <c r="E52" s="90" t="n">
        <v>0.688</v>
      </c>
      <c r="F52" s="90" t="n">
        <v>0.9</v>
      </c>
      <c r="G52" s="89" t="n">
        <v>19</v>
      </c>
      <c r="H52" s="90" t="n">
        <v>0.051</v>
      </c>
      <c r="I52" s="90" t="n">
        <v>0.082</v>
      </c>
      <c r="J52" s="90" t="n">
        <v>0.096</v>
      </c>
      <c r="K52" s="91" t="s">
        <v>130</v>
      </c>
    </row>
    <row r="53" customFormat="false" ht="15" hidden="false" customHeight="true" outlineLevel="0" collapsed="false">
      <c r="A53" s="87" t="s">
        <v>190</v>
      </c>
      <c r="B53" s="88" t="s">
        <v>195</v>
      </c>
      <c r="C53" s="89" t="n">
        <v>6</v>
      </c>
      <c r="D53" s="90" t="n">
        <v>0.498</v>
      </c>
      <c r="E53" s="90" t="n">
        <v>1.166</v>
      </c>
      <c r="F53" s="90" t="n">
        <v>2.55</v>
      </c>
      <c r="G53" s="89" t="n">
        <v>19</v>
      </c>
      <c r="H53" s="90" t="n">
        <v>0.051</v>
      </c>
      <c r="I53" s="90" t="n">
        <v>0.284</v>
      </c>
      <c r="J53" s="90" t="n">
        <v>3.36</v>
      </c>
      <c r="K53" s="91" t="s">
        <v>130</v>
      </c>
    </row>
    <row r="54" customFormat="false" ht="15" hidden="false" customHeight="true" outlineLevel="0" collapsed="false">
      <c r="A54" s="87" t="s">
        <v>190</v>
      </c>
      <c r="B54" s="88" t="s">
        <v>196</v>
      </c>
      <c r="C54" s="89" t="n">
        <v>6</v>
      </c>
      <c r="D54" s="90" t="n">
        <v>0.925</v>
      </c>
      <c r="E54" s="90" t="n">
        <v>2.764</v>
      </c>
      <c r="F54" s="90" t="n">
        <v>8.46</v>
      </c>
      <c r="G54" s="89" t="n">
        <v>19</v>
      </c>
      <c r="H54" s="90" t="n">
        <v>0.051</v>
      </c>
      <c r="I54" s="90" t="n">
        <v>0.187</v>
      </c>
      <c r="J54" s="90" t="n">
        <v>1.12</v>
      </c>
      <c r="K54" s="91" t="s">
        <v>130</v>
      </c>
    </row>
    <row r="55" customFormat="false" ht="15" hidden="false" customHeight="true" outlineLevel="0" collapsed="false">
      <c r="A55" s="87" t="s">
        <v>197</v>
      </c>
      <c r="B55" s="88" t="s">
        <v>198</v>
      </c>
      <c r="C55" s="89" t="n">
        <v>5</v>
      </c>
      <c r="D55" s="90" t="n">
        <v>0.438</v>
      </c>
      <c r="E55" s="90" t="n">
        <v>0.702</v>
      </c>
      <c r="F55" s="90" t="n">
        <v>1.4</v>
      </c>
      <c r="G55" s="89" t="n">
        <v>18</v>
      </c>
      <c r="H55" s="90" t="n">
        <v>0.051</v>
      </c>
      <c r="I55" s="90" t="n">
        <v>0.09</v>
      </c>
      <c r="J55" s="90" t="n">
        <v>0.251</v>
      </c>
      <c r="K55" s="91" t="s">
        <v>130</v>
      </c>
    </row>
    <row r="56" customFormat="false" ht="15" hidden="false" customHeight="true" outlineLevel="0" collapsed="false">
      <c r="A56" s="87" t="s">
        <v>197</v>
      </c>
      <c r="B56" s="88" t="s">
        <v>199</v>
      </c>
      <c r="C56" s="89" t="n">
        <v>5</v>
      </c>
      <c r="D56" s="90" t="n">
        <v>0.463</v>
      </c>
      <c r="E56" s="90" t="n">
        <v>0.835</v>
      </c>
      <c r="F56" s="90" t="n">
        <v>1.7</v>
      </c>
      <c r="G56" s="89" t="n">
        <v>18</v>
      </c>
      <c r="H56" s="90" t="n">
        <v>0.051</v>
      </c>
      <c r="I56" s="90" t="n">
        <v>0.084</v>
      </c>
      <c r="J56" s="90" t="n">
        <v>0.113</v>
      </c>
      <c r="K56" s="91" t="s">
        <v>130</v>
      </c>
    </row>
    <row r="57" customFormat="false" ht="15" hidden="false" customHeight="true" outlineLevel="0" collapsed="false">
      <c r="A57" s="87" t="s">
        <v>197</v>
      </c>
      <c r="B57" s="88" t="s">
        <v>200</v>
      </c>
      <c r="C57" s="89" t="n">
        <v>6</v>
      </c>
      <c r="D57" s="90" t="n">
        <v>0.25</v>
      </c>
      <c r="E57" s="90" t="n">
        <v>0.669</v>
      </c>
      <c r="F57" s="90" t="n">
        <v>1.7</v>
      </c>
      <c r="G57" s="89" t="n">
        <v>18</v>
      </c>
      <c r="H57" s="90" t="n">
        <v>0.051</v>
      </c>
      <c r="I57" s="90" t="n">
        <v>0.101</v>
      </c>
      <c r="J57" s="90" t="n">
        <v>0.397</v>
      </c>
      <c r="K57" s="91" t="s">
        <v>130</v>
      </c>
    </row>
    <row r="58" customFormat="false" ht="15" hidden="false" customHeight="true" outlineLevel="0" collapsed="false">
      <c r="A58" s="87" t="s">
        <v>197</v>
      </c>
      <c r="B58" s="88" t="s">
        <v>201</v>
      </c>
      <c r="C58" s="89" t="n">
        <v>5</v>
      </c>
      <c r="D58" s="90" t="n">
        <v>0.463</v>
      </c>
      <c r="E58" s="90" t="n">
        <v>0.984</v>
      </c>
      <c r="F58" s="90" t="n">
        <v>2.7</v>
      </c>
      <c r="G58" s="89" t="n">
        <v>18</v>
      </c>
      <c r="H58" s="90" t="n">
        <v>0.051</v>
      </c>
      <c r="I58" s="90" t="n">
        <v>0.085</v>
      </c>
      <c r="J58" s="90" t="n">
        <v>0.141</v>
      </c>
      <c r="K58" s="91" t="s">
        <v>130</v>
      </c>
    </row>
    <row r="59" customFormat="false" ht="15" hidden="false" customHeight="true" outlineLevel="0" collapsed="false">
      <c r="A59" s="87" t="s">
        <v>197</v>
      </c>
      <c r="B59" s="88" t="s">
        <v>202</v>
      </c>
      <c r="C59" s="89" t="n">
        <v>5</v>
      </c>
      <c r="D59" s="90" t="n">
        <v>0.402</v>
      </c>
      <c r="E59" s="90" t="n">
        <v>0.682</v>
      </c>
      <c r="F59" s="90" t="n">
        <v>1.4</v>
      </c>
      <c r="G59" s="89" t="n">
        <v>18</v>
      </c>
      <c r="H59" s="90" t="n">
        <v>0.051</v>
      </c>
      <c r="I59" s="90" t="n">
        <v>0.081</v>
      </c>
      <c r="J59" s="90" t="n">
        <v>0.096</v>
      </c>
      <c r="K59" s="91" t="s">
        <v>130</v>
      </c>
    </row>
    <row r="60" customFormat="false" ht="15" hidden="false" customHeight="true" outlineLevel="0" collapsed="false">
      <c r="A60" s="87" t="s">
        <v>197</v>
      </c>
      <c r="B60" s="88" t="s">
        <v>203</v>
      </c>
      <c r="C60" s="89" t="n">
        <v>5</v>
      </c>
      <c r="D60" s="90" t="n">
        <v>0.52</v>
      </c>
      <c r="E60" s="90" t="n">
        <v>0.95</v>
      </c>
      <c r="F60" s="90" t="n">
        <v>1.9</v>
      </c>
      <c r="G60" s="89" t="n">
        <v>16</v>
      </c>
      <c r="H60" s="90" t="n">
        <v>0.051</v>
      </c>
      <c r="I60" s="90" t="n">
        <v>0.085</v>
      </c>
      <c r="J60" s="90" t="n">
        <v>0.097</v>
      </c>
      <c r="K60" s="91" t="s">
        <v>130</v>
      </c>
    </row>
    <row r="61" customFormat="false" ht="15" hidden="false" customHeight="true" outlineLevel="0" collapsed="false">
      <c r="A61" s="87" t="s">
        <v>204</v>
      </c>
      <c r="B61" s="88" t="s">
        <v>205</v>
      </c>
      <c r="C61" s="89" t="n">
        <v>9</v>
      </c>
      <c r="D61" s="90" t="n">
        <v>0.398</v>
      </c>
      <c r="E61" s="90" t="n">
        <v>0.993</v>
      </c>
      <c r="F61" s="90" t="n">
        <v>2.17</v>
      </c>
      <c r="G61" s="89" t="n">
        <v>19</v>
      </c>
      <c r="H61" s="90" t="n">
        <v>0.051</v>
      </c>
      <c r="I61" s="90" t="n">
        <v>0.106</v>
      </c>
      <c r="J61" s="90" t="n">
        <v>0.249</v>
      </c>
      <c r="K61" s="91" t="s">
        <v>130</v>
      </c>
    </row>
    <row r="62" customFormat="false" ht="15" hidden="false" customHeight="true" outlineLevel="0" collapsed="false">
      <c r="A62" s="87" t="s">
        <v>204</v>
      </c>
      <c r="B62" s="88" t="s">
        <v>206</v>
      </c>
      <c r="C62" s="89" t="n">
        <v>9</v>
      </c>
      <c r="D62" s="90" t="n">
        <v>0.325</v>
      </c>
      <c r="E62" s="90" t="n">
        <v>1.074</v>
      </c>
      <c r="F62" s="90" t="n">
        <v>2.56</v>
      </c>
      <c r="G62" s="89" t="n">
        <v>19</v>
      </c>
      <c r="H62" s="90" t="n">
        <v>0.05</v>
      </c>
      <c r="I62" s="90" t="n">
        <v>0.111</v>
      </c>
      <c r="J62" s="90" t="n">
        <v>0.354</v>
      </c>
      <c r="K62" s="91" t="s">
        <v>130</v>
      </c>
    </row>
    <row r="63" customFormat="false" ht="15" hidden="false" customHeight="true" outlineLevel="0" collapsed="false">
      <c r="A63" s="87" t="s">
        <v>204</v>
      </c>
      <c r="B63" s="88" t="s">
        <v>207</v>
      </c>
      <c r="C63" s="89" t="n">
        <v>9</v>
      </c>
      <c r="D63" s="90" t="n">
        <v>0.463</v>
      </c>
      <c r="E63" s="90" t="n">
        <v>1.163</v>
      </c>
      <c r="F63" s="90" t="n">
        <v>3.35</v>
      </c>
      <c r="G63" s="89" t="n">
        <v>19</v>
      </c>
      <c r="H63" s="90" t="n">
        <v>0.051</v>
      </c>
      <c r="I63" s="90" t="n">
        <v>0.211</v>
      </c>
      <c r="J63" s="90" t="n">
        <v>1.58</v>
      </c>
      <c r="K63" s="91" t="s">
        <v>130</v>
      </c>
    </row>
    <row r="64" customFormat="false" ht="15" hidden="false" customHeight="true" outlineLevel="0" collapsed="false">
      <c r="A64" s="87" t="s">
        <v>204</v>
      </c>
      <c r="B64" s="88" t="s">
        <v>208</v>
      </c>
      <c r="C64" s="89" t="n">
        <v>9</v>
      </c>
      <c r="D64" s="90" t="n">
        <v>0.463</v>
      </c>
      <c r="E64" s="90" t="n">
        <v>2.426</v>
      </c>
      <c r="F64" s="90" t="n">
        <v>10.8</v>
      </c>
      <c r="G64" s="89" t="n">
        <v>19</v>
      </c>
      <c r="H64" s="90" t="n">
        <v>0.052</v>
      </c>
      <c r="I64" s="90" t="n">
        <v>0.146</v>
      </c>
      <c r="J64" s="90" t="n">
        <v>0.711</v>
      </c>
      <c r="K64" s="91" t="s">
        <v>130</v>
      </c>
    </row>
    <row r="65" customFormat="false" ht="15" hidden="false" customHeight="true" outlineLevel="0" collapsed="false">
      <c r="A65" s="87" t="s">
        <v>204</v>
      </c>
      <c r="B65" s="88" t="s">
        <v>209</v>
      </c>
      <c r="C65" s="89" t="n">
        <v>5</v>
      </c>
      <c r="D65" s="90" t="n">
        <v>3.54</v>
      </c>
      <c r="E65" s="90" t="n">
        <v>5.31</v>
      </c>
      <c r="F65" s="90" t="n">
        <v>8.05</v>
      </c>
      <c r="G65" s="89" t="n">
        <v>13</v>
      </c>
      <c r="H65" s="90" t="n">
        <v>0.066</v>
      </c>
      <c r="I65" s="90" t="n">
        <v>0.803</v>
      </c>
      <c r="J65" s="90" t="n">
        <v>3.73</v>
      </c>
      <c r="K65" s="91" t="s">
        <v>130</v>
      </c>
    </row>
    <row r="66" customFormat="false" ht="15" hidden="false" customHeight="true" outlineLevel="0" collapsed="false">
      <c r="A66" s="87" t="s">
        <v>204</v>
      </c>
      <c r="B66" s="88" t="s">
        <v>210</v>
      </c>
      <c r="C66" s="89" t="n">
        <v>4</v>
      </c>
      <c r="D66" s="90" t="n">
        <v>2.23</v>
      </c>
      <c r="E66" s="90" t="n">
        <v>4.345</v>
      </c>
      <c r="F66" s="90" t="n">
        <v>6.46</v>
      </c>
      <c r="G66" s="89" t="n">
        <v>6</v>
      </c>
      <c r="H66" s="90" t="n">
        <v>0.096</v>
      </c>
      <c r="I66" s="90" t="n">
        <v>0.29</v>
      </c>
      <c r="J66" s="90" t="n">
        <v>0.819</v>
      </c>
      <c r="K66" s="91" t="s">
        <v>211</v>
      </c>
    </row>
    <row r="67" customFormat="false" ht="15" hidden="false" customHeight="true" outlineLevel="0" collapsed="false">
      <c r="A67" s="87" t="s">
        <v>212</v>
      </c>
      <c r="B67" s="88" t="s">
        <v>213</v>
      </c>
      <c r="C67" s="89" t="n">
        <v>7</v>
      </c>
      <c r="D67" s="90" t="n">
        <v>0.463</v>
      </c>
      <c r="E67" s="90" t="n">
        <v>1.787</v>
      </c>
      <c r="F67" s="90" t="n">
        <v>6.56</v>
      </c>
      <c r="G67" s="89" t="n">
        <v>18</v>
      </c>
      <c r="H67" s="90" t="n">
        <v>0.066</v>
      </c>
      <c r="I67" s="90" t="n">
        <v>0.106</v>
      </c>
      <c r="J67" s="90" t="n">
        <v>0.245</v>
      </c>
      <c r="K67" s="91" t="s">
        <v>130</v>
      </c>
    </row>
    <row r="68" customFormat="false" ht="15" hidden="false" customHeight="true" outlineLevel="0" collapsed="false">
      <c r="A68" s="87" t="s">
        <v>212</v>
      </c>
      <c r="B68" s="88" t="s">
        <v>214</v>
      </c>
      <c r="C68" s="89" t="n">
        <v>7</v>
      </c>
      <c r="D68" s="90" t="n">
        <v>0.463</v>
      </c>
      <c r="E68" s="90" t="n">
        <v>1.589</v>
      </c>
      <c r="F68" s="90" t="n">
        <v>5.92</v>
      </c>
      <c r="G68" s="89" t="n">
        <v>18</v>
      </c>
      <c r="H68" s="90" t="n">
        <v>0.051</v>
      </c>
      <c r="I68" s="90" t="n">
        <v>0.094</v>
      </c>
      <c r="J68" s="90" t="n">
        <v>0.212</v>
      </c>
      <c r="K68" s="91" t="s">
        <v>130</v>
      </c>
    </row>
    <row r="69" customFormat="false" ht="21.75" hidden="false" customHeight="true" outlineLevel="0" collapsed="false">
      <c r="A69" s="87" t="s">
        <v>212</v>
      </c>
      <c r="B69" s="88" t="s">
        <v>215</v>
      </c>
      <c r="C69" s="89" t="n">
        <v>7</v>
      </c>
      <c r="D69" s="90" t="n">
        <v>0.625</v>
      </c>
      <c r="E69" s="90" t="n">
        <v>2.15</v>
      </c>
      <c r="F69" s="90" t="n">
        <v>7.92</v>
      </c>
      <c r="G69" s="89" t="n">
        <v>18</v>
      </c>
      <c r="H69" s="90" t="n">
        <v>0.051</v>
      </c>
      <c r="I69" s="90" t="n">
        <v>0.128</v>
      </c>
      <c r="J69" s="90" t="n">
        <v>0.322</v>
      </c>
      <c r="K69" s="91" t="s">
        <v>130</v>
      </c>
    </row>
    <row r="70" customFormat="false" ht="15" hidden="false" customHeight="true" outlineLevel="0" collapsed="false">
      <c r="A70" s="87" t="s">
        <v>212</v>
      </c>
      <c r="B70" s="88" t="s">
        <v>216</v>
      </c>
      <c r="C70" s="89" t="n">
        <v>5</v>
      </c>
      <c r="D70" s="90" t="n">
        <v>0.5</v>
      </c>
      <c r="E70" s="90" t="n">
        <v>2.201</v>
      </c>
      <c r="F70" s="90" t="n">
        <v>6.9</v>
      </c>
      <c r="G70" s="89" t="n">
        <v>15</v>
      </c>
      <c r="H70" s="90" t="n">
        <v>0.051</v>
      </c>
      <c r="I70" s="90" t="n">
        <v>0.1</v>
      </c>
      <c r="J70" s="90" t="n">
        <v>0.312</v>
      </c>
      <c r="K70" s="91" t="s">
        <v>217</v>
      </c>
    </row>
    <row r="71" customFormat="false" ht="15" hidden="false" customHeight="true" outlineLevel="0" collapsed="false">
      <c r="A71" s="87" t="s">
        <v>212</v>
      </c>
      <c r="B71" s="88" t="s">
        <v>218</v>
      </c>
      <c r="C71" s="89" t="n">
        <v>5</v>
      </c>
      <c r="D71" s="90" t="n">
        <v>0.463</v>
      </c>
      <c r="E71" s="90" t="n">
        <v>2.161</v>
      </c>
      <c r="F71" s="90" t="n">
        <v>7.14</v>
      </c>
      <c r="G71" s="89" t="n">
        <v>14</v>
      </c>
      <c r="H71" s="90" t="n">
        <v>0.051</v>
      </c>
      <c r="I71" s="90" t="n">
        <v>0.085</v>
      </c>
      <c r="J71" s="90" t="n">
        <v>0.165</v>
      </c>
      <c r="K71" s="91" t="s">
        <v>217</v>
      </c>
    </row>
    <row r="72" customFormat="false" ht="15" hidden="false" customHeight="true" outlineLevel="0" collapsed="false">
      <c r="A72" s="87" t="s">
        <v>219</v>
      </c>
      <c r="B72" s="88" t="s">
        <v>220</v>
      </c>
      <c r="C72" s="89" t="n">
        <v>6</v>
      </c>
      <c r="D72" s="90" t="n">
        <v>0.419</v>
      </c>
      <c r="E72" s="90" t="n">
        <v>1.273</v>
      </c>
      <c r="F72" s="90" t="n">
        <v>2.65</v>
      </c>
      <c r="G72" s="89" t="n">
        <v>19</v>
      </c>
      <c r="H72" s="90" t="n">
        <v>0.051</v>
      </c>
      <c r="I72" s="90" t="n">
        <v>0.193</v>
      </c>
      <c r="J72" s="90" t="n">
        <v>1.5</v>
      </c>
      <c r="K72" s="91" t="s">
        <v>130</v>
      </c>
    </row>
    <row r="73" customFormat="false" ht="15" hidden="false" customHeight="true" outlineLevel="0" collapsed="false">
      <c r="A73" s="87" t="s">
        <v>219</v>
      </c>
      <c r="B73" s="88" t="s">
        <v>221</v>
      </c>
      <c r="C73" s="89" t="n">
        <v>6</v>
      </c>
      <c r="D73" s="90" t="n">
        <v>0.6</v>
      </c>
      <c r="E73" s="90" t="n">
        <v>1.246</v>
      </c>
      <c r="F73" s="90" t="n">
        <v>2.4</v>
      </c>
      <c r="G73" s="89" t="n">
        <v>18</v>
      </c>
      <c r="H73" s="90" t="n">
        <v>0.051</v>
      </c>
      <c r="I73" s="90" t="n">
        <v>0.097</v>
      </c>
      <c r="J73" s="90" t="n">
        <v>0.283</v>
      </c>
      <c r="K73" s="91" t="s">
        <v>130</v>
      </c>
    </row>
    <row r="74" customFormat="false" ht="15" hidden="false" customHeight="true" outlineLevel="0" collapsed="false">
      <c r="A74" s="87" t="s">
        <v>219</v>
      </c>
      <c r="B74" s="88" t="s">
        <v>222</v>
      </c>
      <c r="C74" s="89" t="n">
        <v>6</v>
      </c>
      <c r="D74" s="90" t="n">
        <v>0.937</v>
      </c>
      <c r="E74" s="90" t="n">
        <v>1.666</v>
      </c>
      <c r="F74" s="90" t="n">
        <v>2.34</v>
      </c>
      <c r="G74" s="89" t="n">
        <v>18</v>
      </c>
      <c r="H74" s="90" t="n">
        <v>0.051</v>
      </c>
      <c r="I74" s="90" t="n">
        <v>0.111</v>
      </c>
      <c r="J74" s="90" t="n">
        <v>0.406</v>
      </c>
      <c r="K74" s="91" t="s">
        <v>130</v>
      </c>
    </row>
    <row r="75" customFormat="false" ht="15" hidden="false" customHeight="true" outlineLevel="0" collapsed="false">
      <c r="A75" s="87" t="s">
        <v>219</v>
      </c>
      <c r="B75" s="88" t="s">
        <v>223</v>
      </c>
      <c r="C75" s="89" t="n">
        <v>6</v>
      </c>
      <c r="D75" s="90" t="n">
        <v>1.32</v>
      </c>
      <c r="E75" s="90" t="n">
        <v>2.203</v>
      </c>
      <c r="F75" s="90" t="n">
        <v>3.02</v>
      </c>
      <c r="G75" s="89" t="n">
        <v>17</v>
      </c>
      <c r="H75" s="90" t="n">
        <v>0.067</v>
      </c>
      <c r="I75" s="90" t="n">
        <v>0.531</v>
      </c>
      <c r="J75" s="90" t="n">
        <v>3.1</v>
      </c>
      <c r="K75" s="91" t="s">
        <v>130</v>
      </c>
    </row>
    <row r="76" customFormat="false" ht="15" hidden="false" customHeight="true" outlineLevel="0" collapsed="false">
      <c r="A76" s="87" t="s">
        <v>224</v>
      </c>
      <c r="B76" s="88" t="s">
        <v>225</v>
      </c>
      <c r="C76" s="89" t="n">
        <v>1</v>
      </c>
      <c r="D76" s="90" t="n">
        <v>5</v>
      </c>
      <c r="E76" s="90" t="n">
        <v>5</v>
      </c>
      <c r="F76" s="90" t="n">
        <v>5</v>
      </c>
      <c r="G76" s="89" t="n">
        <v>2</v>
      </c>
      <c r="H76" s="90" t="n">
        <v>0.539</v>
      </c>
      <c r="I76" s="90" t="n">
        <v>2.769</v>
      </c>
      <c r="J76" s="90" t="n">
        <v>5</v>
      </c>
      <c r="K76" s="91" t="s">
        <v>226</v>
      </c>
    </row>
    <row r="77" customFormat="false" ht="15" hidden="false" customHeight="true" outlineLevel="0" collapsed="false">
      <c r="A77" s="87" t="s">
        <v>224</v>
      </c>
      <c r="B77" s="88" t="s">
        <v>227</v>
      </c>
      <c r="C77" s="89" t="n">
        <v>2</v>
      </c>
      <c r="D77" s="90" t="n">
        <v>5</v>
      </c>
      <c r="E77" s="90" t="n">
        <v>5</v>
      </c>
      <c r="F77" s="90" t="n">
        <v>5</v>
      </c>
      <c r="G77" s="89" t="n">
        <v>2</v>
      </c>
      <c r="H77" s="90" t="n">
        <v>0.153</v>
      </c>
      <c r="I77" s="90" t="n">
        <v>0.287</v>
      </c>
      <c r="J77" s="90" t="n">
        <v>0.421</v>
      </c>
      <c r="K77" s="91" t="s">
        <v>228</v>
      </c>
    </row>
    <row r="78" customFormat="false" ht="15" hidden="false" customHeight="true" outlineLevel="0" collapsed="false">
      <c r="A78" s="87" t="s">
        <v>224</v>
      </c>
      <c r="B78" s="88" t="s">
        <v>229</v>
      </c>
      <c r="C78" s="89" t="n">
        <v>1</v>
      </c>
      <c r="D78" s="90" t="n">
        <v>5</v>
      </c>
      <c r="E78" s="90" t="n">
        <v>5</v>
      </c>
      <c r="F78" s="90" t="n">
        <v>5</v>
      </c>
      <c r="G78" s="89" t="n">
        <v>1</v>
      </c>
      <c r="H78" s="90" t="n">
        <v>0.015</v>
      </c>
      <c r="I78" s="90" t="n">
        <v>0.015</v>
      </c>
      <c r="J78" s="90" t="n">
        <v>0.015</v>
      </c>
      <c r="K78" s="91" t="s">
        <v>230</v>
      </c>
    </row>
    <row r="79" customFormat="false" ht="15" hidden="false" customHeight="true" outlineLevel="0" collapsed="false">
      <c r="A79" s="87" t="s">
        <v>224</v>
      </c>
      <c r="B79" s="88" t="s">
        <v>231</v>
      </c>
      <c r="C79" s="89" t="n">
        <v>1</v>
      </c>
      <c r="D79" s="90" t="n">
        <v>5</v>
      </c>
      <c r="E79" s="90" t="n">
        <v>5</v>
      </c>
      <c r="F79" s="90" t="n">
        <v>5</v>
      </c>
      <c r="G79" s="89" t="n">
        <v>1</v>
      </c>
      <c r="H79" s="90" t="n">
        <v>0.15</v>
      </c>
      <c r="I79" s="90" t="n">
        <v>0.15</v>
      </c>
      <c r="J79" s="90" t="n">
        <v>0.15</v>
      </c>
      <c r="K79" s="91" t="s">
        <v>232</v>
      </c>
    </row>
    <row r="80" customFormat="false" ht="15" hidden="false" customHeight="true" outlineLevel="0" collapsed="false">
      <c r="A80" s="87" t="s">
        <v>224</v>
      </c>
      <c r="B80" s="88" t="s">
        <v>233</v>
      </c>
      <c r="C80" s="89" t="n">
        <v>1</v>
      </c>
      <c r="D80" s="90" t="n">
        <v>5</v>
      </c>
      <c r="E80" s="90" t="n">
        <v>5</v>
      </c>
      <c r="F80" s="90" t="n">
        <v>5</v>
      </c>
      <c r="G80" s="89" t="n">
        <v>1</v>
      </c>
      <c r="H80" s="90" t="n">
        <v>0.15</v>
      </c>
      <c r="I80" s="90" t="n">
        <v>0.15</v>
      </c>
      <c r="J80" s="90" t="n">
        <v>0.15</v>
      </c>
      <c r="K80" s="91" t="s">
        <v>234</v>
      </c>
    </row>
    <row r="81" customFormat="false" ht="15" hidden="false" customHeight="true" outlineLevel="0" collapsed="false">
      <c r="A81" s="87" t="s">
        <v>224</v>
      </c>
      <c r="B81" s="88" t="s">
        <v>235</v>
      </c>
      <c r="C81" s="89" t="n">
        <v>0</v>
      </c>
      <c r="D81" s="90"/>
      <c r="E81" s="90"/>
      <c r="F81" s="90"/>
      <c r="G81" s="89" t="n">
        <v>0</v>
      </c>
      <c r="H81" s="90"/>
      <c r="I81" s="90"/>
      <c r="J81" s="90"/>
      <c r="K81" s="91" t="s">
        <v>236</v>
      </c>
    </row>
    <row r="82" customFormat="false" ht="15" hidden="false" customHeight="true" outlineLevel="0" collapsed="false">
      <c r="A82" s="87" t="s">
        <v>224</v>
      </c>
      <c r="B82" s="88" t="s">
        <v>237</v>
      </c>
      <c r="C82" s="89" t="n">
        <v>0</v>
      </c>
      <c r="D82" s="90"/>
      <c r="E82" s="90"/>
      <c r="F82" s="90"/>
      <c r="G82" s="89" t="n">
        <v>0</v>
      </c>
      <c r="H82" s="90"/>
      <c r="I82" s="90"/>
      <c r="J82" s="90"/>
      <c r="K82" s="91" t="s">
        <v>238</v>
      </c>
    </row>
    <row r="83" customFormat="false" ht="15" hidden="false" customHeight="true" outlineLevel="0" collapsed="false">
      <c r="A83" s="87" t="s">
        <v>224</v>
      </c>
      <c r="B83" s="88" t="s">
        <v>239</v>
      </c>
      <c r="C83" s="89" t="n">
        <v>0</v>
      </c>
      <c r="D83" s="90"/>
      <c r="E83" s="90"/>
      <c r="F83" s="90"/>
      <c r="G83" s="89" t="n">
        <v>0</v>
      </c>
      <c r="H83" s="90"/>
      <c r="I83" s="90"/>
      <c r="J83" s="90"/>
      <c r="K83" s="91" t="s">
        <v>240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10" min="8" style="0" width="10"/>
    <col collapsed="false" customWidth="true" hidden="false" outlineLevel="0" max="11" min="11" style="0" width="2"/>
    <col collapsed="false" customWidth="true" hidden="false" outlineLevel="0" max="12" min="12" style="0" width="6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26" min="18" style="0" width="9"/>
  </cols>
  <sheetData>
    <row r="1" customFormat="false" ht="17.35" hidden="false" customHeight="false" outlineLevel="0" collapsed="false">
      <c r="A1" s="92" t="s">
        <v>241</v>
      </c>
    </row>
    <row r="2" customFormat="false" ht="55.5" hidden="false" customHeight="true" outlineLevel="0" collapsed="false">
      <c r="A2" s="93" t="s">
        <v>242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</row>
    <row r="4" customFormat="false" ht="15" hidden="false" customHeight="true" outlineLevel="0" collapsed="false">
      <c r="A4" s="94" t="s">
        <v>243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6" customFormat="false" ht="18.75" hidden="false" customHeight="true" outlineLevel="0" collapsed="false">
      <c r="A6" s="95" t="s">
        <v>244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</row>
    <row r="7" customFormat="false" ht="27.75" hidden="false" customHeight="true" outlineLevel="0" collapsed="false">
      <c r="A7" s="96" t="s">
        <v>54</v>
      </c>
      <c r="B7" s="86" t="s">
        <v>245</v>
      </c>
      <c r="C7" s="86" t="s">
        <v>55</v>
      </c>
      <c r="D7" s="86" t="s">
        <v>246</v>
      </c>
      <c r="E7" s="86" t="s">
        <v>247</v>
      </c>
      <c r="F7" s="86" t="s">
        <v>248</v>
      </c>
      <c r="G7" s="86" t="s">
        <v>249</v>
      </c>
      <c r="H7" s="86" t="s">
        <v>250</v>
      </c>
      <c r="I7" s="86" t="s">
        <v>251</v>
      </c>
      <c r="J7" s="96" t="s">
        <v>252</v>
      </c>
      <c r="K7" s="96"/>
      <c r="L7" s="96"/>
      <c r="M7" s="96"/>
      <c r="N7" s="96"/>
      <c r="O7" s="96"/>
      <c r="P7" s="96"/>
      <c r="Q7" s="96"/>
    </row>
    <row r="8" customFormat="false" ht="15" hidden="false" customHeight="true" outlineLevel="0" collapsed="false">
      <c r="A8" s="87" t="s">
        <v>128</v>
      </c>
      <c r="B8" s="97" t="n">
        <v>3</v>
      </c>
      <c r="C8" s="98" t="n">
        <v>3794.8</v>
      </c>
      <c r="D8" s="97" t="n">
        <f aca="false">B33</f>
        <v>18</v>
      </c>
      <c r="E8" s="99" t="n">
        <f aca="false">C33</f>
        <v>0.000109746511945155</v>
      </c>
      <c r="F8" s="90" t="n">
        <f aca="false">D33</f>
        <v>0.153678409394208</v>
      </c>
      <c r="G8" s="97" t="n">
        <f aca="false">B34</f>
        <v>48</v>
      </c>
      <c r="H8" s="99" t="n">
        <f aca="false">C34</f>
        <v>8.56816935416372E-005</v>
      </c>
      <c r="I8" s="90" t="n">
        <f aca="false">D34</f>
        <v>0.309616900092049</v>
      </c>
      <c r="J8" s="100" t="str">
        <f aca="false">IF(AND(F8="",I8=""),"No estimable con los datos disponibles.",IF(MAX(N(F8),N(I8))&gt;=0.3,"Señal apreciable: vale la pena priorizar este río para el corredor.",IF(MAX(N(F8),N(I8))&gt;=0.15,"Señal moderada.","Señal débil: la caña no explica la variabilidad observada.")))</f>
        <v>Señal apreciable: vale la pena priorizar este río para el corredor.</v>
      </c>
      <c r="K8" s="100"/>
      <c r="L8" s="100"/>
      <c r="M8" s="100"/>
      <c r="N8" s="100"/>
      <c r="O8" s="100"/>
      <c r="P8" s="100"/>
      <c r="Q8" s="100"/>
    </row>
    <row r="9" customFormat="false" ht="15" hidden="false" customHeight="true" outlineLevel="0" collapsed="false">
      <c r="A9" s="87" t="s">
        <v>134</v>
      </c>
      <c r="B9" s="97" t="n">
        <v>3</v>
      </c>
      <c r="C9" s="98" t="n">
        <v>4990</v>
      </c>
      <c r="D9" s="97" t="n">
        <f aca="false">B45</f>
        <v>16</v>
      </c>
      <c r="E9" s="99" t="n">
        <f aca="false">C45</f>
        <v>-6.26881165417488E-005</v>
      </c>
      <c r="F9" s="90" t="n">
        <f aca="false">D45</f>
        <v>0.0530122743253594</v>
      </c>
      <c r="G9" s="97" t="n">
        <f aca="false">B46</f>
        <v>43</v>
      </c>
      <c r="H9" s="99" t="n">
        <f aca="false">C46</f>
        <v>4.64698911910347E-005</v>
      </c>
      <c r="I9" s="90" t="n">
        <f aca="false">D46</f>
        <v>0.0326852384268243</v>
      </c>
      <c r="J9" s="100" t="str">
        <f aca="false">IF(AND(F9="",I9=""),"No estimable con los datos disponibles.",IF(MAX(N(F9),N(I9))&gt;=0.3,"Señal apreciable: vale la pena priorizar este río para el corredor.",IF(MAX(N(F9),N(I9))&gt;=0.15,"Señal moderada.","Señal débil: la caña no explica la variabilidad observada.")))</f>
        <v>Señal débil: la caña no explica la variabilidad observada.</v>
      </c>
      <c r="K9" s="100"/>
      <c r="L9" s="100"/>
      <c r="M9" s="100"/>
      <c r="N9" s="100"/>
      <c r="O9" s="100"/>
      <c r="P9" s="100"/>
      <c r="Q9" s="100"/>
    </row>
    <row r="10" customFormat="false" ht="15" hidden="false" customHeight="true" outlineLevel="0" collapsed="false">
      <c r="A10" s="87" t="s">
        <v>139</v>
      </c>
      <c r="B10" s="97" t="n">
        <v>2</v>
      </c>
      <c r="C10" s="98" t="n">
        <v>654.7</v>
      </c>
      <c r="D10" s="97" t="n">
        <f aca="false">B56</f>
        <v>5</v>
      </c>
      <c r="E10" s="99" t="str">
        <f aca="false">C56</f>
        <v/>
      </c>
      <c r="F10" s="90" t="str">
        <f aca="false">D56</f>
        <v/>
      </c>
      <c r="G10" s="97" t="n">
        <f aca="false">B57</f>
        <v>16</v>
      </c>
      <c r="H10" s="99" t="str">
        <f aca="false">C57</f>
        <v/>
      </c>
      <c r="I10" s="90" t="str">
        <f aca="false">D57</f>
        <v/>
      </c>
      <c r="J10" s="100" t="str">
        <f aca="false">IF(AND(F10="",I10=""),"No estimable con los datos disponibles.",IF(MAX(N(F10),N(I10))&gt;=0.3,"Señal apreciable: vale la pena priorizar este río para el corredor.",IF(MAX(N(F10),N(I10))&gt;=0.15,"Señal moderada.","Señal débil: la caña no explica la variabilidad observada.")))</f>
        <v>No estimable con los datos disponibles.</v>
      </c>
      <c r="K10" s="100"/>
      <c r="L10" s="100"/>
      <c r="M10" s="100"/>
      <c r="N10" s="100"/>
      <c r="O10" s="100"/>
      <c r="P10" s="100"/>
      <c r="Q10" s="100"/>
    </row>
    <row r="11" customFormat="false" ht="15" hidden="false" customHeight="true" outlineLevel="0" collapsed="false">
      <c r="A11" s="87" t="s">
        <v>146</v>
      </c>
      <c r="B11" s="97" t="n">
        <v>8</v>
      </c>
      <c r="C11" s="98" t="n">
        <v>511.1</v>
      </c>
      <c r="D11" s="97" t="n">
        <f aca="false">B73</f>
        <v>63</v>
      </c>
      <c r="E11" s="99" t="n">
        <f aca="false">C73</f>
        <v>0.00015245638339298</v>
      </c>
      <c r="F11" s="90" t="n">
        <f aca="false">D73</f>
        <v>0.101055820725915</v>
      </c>
      <c r="G11" s="97" t="n">
        <f aca="false">B74</f>
        <v>70</v>
      </c>
      <c r="H11" s="99" t="n">
        <f aca="false">C74</f>
        <v>0.00141644878806618</v>
      </c>
      <c r="I11" s="90" t="n">
        <f aca="false">D74</f>
        <v>0.028462713166861</v>
      </c>
      <c r="J11" s="100" t="str">
        <f aca="false">IF(AND(F11="",I11=""),"No estimable con los datos disponibles.",IF(MAX(N(F11),N(I11))&gt;=0.3,"Señal apreciable: vale la pena priorizar este río para el corredor.",IF(MAX(N(F11),N(I11))&gt;=0.15,"Señal moderada.","Señal débil: la caña no explica la variabilidad observada.")))</f>
        <v>Señal débil: la caña no explica la variabilidad observada.</v>
      </c>
      <c r="K11" s="100"/>
      <c r="L11" s="100"/>
      <c r="M11" s="100"/>
      <c r="N11" s="100"/>
      <c r="O11" s="100"/>
      <c r="P11" s="100"/>
      <c r="Q11" s="100"/>
    </row>
    <row r="12" customFormat="false" ht="15" hidden="false" customHeight="true" outlineLevel="0" collapsed="false">
      <c r="A12" s="87" t="s">
        <v>158</v>
      </c>
      <c r="B12" s="97" t="n">
        <v>2</v>
      </c>
      <c r="C12" s="98" t="n">
        <v>1613.7</v>
      </c>
      <c r="D12" s="97" t="n">
        <f aca="false">B84</f>
        <v>18</v>
      </c>
      <c r="E12" s="99" t="n">
        <f aca="false">C84</f>
        <v>3.30397808515124E-005</v>
      </c>
      <c r="F12" s="90" t="n">
        <f aca="false">D84</f>
        <v>0.0863813619891914</v>
      </c>
      <c r="G12" s="97" t="n">
        <f aca="false">B85</f>
        <v>22</v>
      </c>
      <c r="H12" s="99" t="n">
        <f aca="false">C85</f>
        <v>0.000199324329605838</v>
      </c>
      <c r="I12" s="90" t="n">
        <f aca="false">D85</f>
        <v>0.0397376287793525</v>
      </c>
      <c r="J12" s="100" t="str">
        <f aca="false">IF(AND(F12="",I12=""),"No estimable con los datos disponibles.",IF(MAX(N(F12),N(I12))&gt;=0.3,"Señal apreciable: vale la pena priorizar este río para el corredor.",IF(MAX(N(F12),N(I12))&gt;=0.15,"Señal moderada.","Señal débil: la caña no explica la variabilidad observada.")))</f>
        <v>Señal débil: la caña no explica la variabilidad observada.</v>
      </c>
      <c r="K12" s="100"/>
      <c r="L12" s="100"/>
      <c r="M12" s="100"/>
      <c r="N12" s="100"/>
      <c r="O12" s="100"/>
      <c r="P12" s="100"/>
      <c r="Q12" s="100"/>
    </row>
    <row r="13" customFormat="false" ht="15" hidden="false" customHeight="true" outlineLevel="0" collapsed="false">
      <c r="A13" s="87" t="s">
        <v>163</v>
      </c>
      <c r="B13" s="97" t="n">
        <v>3</v>
      </c>
      <c r="C13" s="98" t="n">
        <v>3475.9</v>
      </c>
      <c r="D13" s="97" t="n">
        <f aca="false">B96</f>
        <v>22</v>
      </c>
      <c r="E13" s="99" t="n">
        <f aca="false">C96</f>
        <v>2.01772685536115E-005</v>
      </c>
      <c r="F13" s="90" t="n">
        <f aca="false">D96</f>
        <v>0.0141556889106881</v>
      </c>
      <c r="G13" s="97" t="n">
        <f aca="false">B97</f>
        <v>57</v>
      </c>
      <c r="H13" s="99" t="n">
        <f aca="false">C97</f>
        <v>5.14391098621289E-006</v>
      </c>
      <c r="I13" s="90" t="n">
        <f aca="false">D97</f>
        <v>0.000177815295100245</v>
      </c>
      <c r="J13" s="100" t="str">
        <f aca="false">IF(AND(F13="",I13=""),"No estimable con los datos disponibles.",IF(MAX(N(F13),N(I13))&gt;=0.3,"Señal apreciable: vale la pena priorizar este río para el corredor.",IF(MAX(N(F13),N(I13))&gt;=0.15,"Señal moderada.","Señal débil: la caña no explica la variabilidad observada.")))</f>
        <v>Señal débil: la caña no explica la variabilidad observada.</v>
      </c>
      <c r="K13" s="100"/>
      <c r="L13" s="100"/>
      <c r="M13" s="100"/>
      <c r="N13" s="100"/>
      <c r="O13" s="100"/>
      <c r="P13" s="100"/>
      <c r="Q13" s="100"/>
    </row>
    <row r="14" customFormat="false" ht="15" hidden="false" customHeight="true" outlineLevel="0" collapsed="false">
      <c r="A14" s="87" t="s">
        <v>170</v>
      </c>
      <c r="B14" s="97" t="n">
        <v>1</v>
      </c>
      <c r="C14" s="98" t="n">
        <v>896.6</v>
      </c>
      <c r="D14" s="97" t="n">
        <f aca="false">B106</f>
        <v>7</v>
      </c>
      <c r="E14" s="99" t="str">
        <f aca="false">C106</f>
        <v/>
      </c>
      <c r="F14" s="90" t="str">
        <f aca="false">D106</f>
        <v/>
      </c>
      <c r="G14" s="97" t="n">
        <f aca="false">B107</f>
        <v>18</v>
      </c>
      <c r="H14" s="99" t="str">
        <f aca="false">C107</f>
        <v/>
      </c>
      <c r="I14" s="90" t="str">
        <f aca="false">D107</f>
        <v/>
      </c>
      <c r="J14" s="100" t="str">
        <f aca="false">IF(AND(F14="",I14=""),"No estimable con los datos disponibles.",IF(MAX(N(F14),N(I14))&gt;=0.3,"Señal apreciable: vale la pena priorizar este río para el corredor.",IF(MAX(N(F14),N(I14))&gt;=0.15,"Señal moderada.","Señal débil: la caña no explica la variabilidad observada.")))</f>
        <v>No estimable con los datos disponibles.</v>
      </c>
      <c r="K14" s="100"/>
      <c r="L14" s="100"/>
      <c r="M14" s="100"/>
      <c r="N14" s="100"/>
      <c r="O14" s="100"/>
      <c r="P14" s="100"/>
      <c r="Q14" s="100"/>
    </row>
    <row r="15" customFormat="false" ht="15" hidden="false" customHeight="true" outlineLevel="0" collapsed="false">
      <c r="A15" s="87" t="s">
        <v>174</v>
      </c>
      <c r="B15" s="97" t="n">
        <v>1</v>
      </c>
      <c r="C15" s="98" t="n">
        <v>1825.8</v>
      </c>
      <c r="D15" s="97" t="n">
        <f aca="false">B116</f>
        <v>7</v>
      </c>
      <c r="E15" s="99" t="str">
        <f aca="false">C116</f>
        <v/>
      </c>
      <c r="F15" s="90" t="str">
        <f aca="false">D116</f>
        <v/>
      </c>
      <c r="G15" s="97" t="n">
        <f aca="false">B117</f>
        <v>17</v>
      </c>
      <c r="H15" s="99" t="str">
        <f aca="false">C117</f>
        <v/>
      </c>
      <c r="I15" s="90" t="str">
        <f aca="false">D117</f>
        <v/>
      </c>
      <c r="J15" s="100" t="str">
        <f aca="false">IF(AND(F15="",I15=""),"No estimable con los datos disponibles.",IF(MAX(N(F15),N(I15))&gt;=0.3,"Señal apreciable: vale la pena priorizar este río para el corredor.",IF(MAX(N(F15),N(I15))&gt;=0.15,"Señal moderada.","Señal débil: la caña no explica la variabilidad observada.")))</f>
        <v>No estimable con los datos disponibles.</v>
      </c>
      <c r="K15" s="100"/>
      <c r="L15" s="100"/>
      <c r="M15" s="100"/>
      <c r="N15" s="100"/>
      <c r="O15" s="100"/>
      <c r="P15" s="100"/>
      <c r="Q15" s="100"/>
    </row>
    <row r="16" customFormat="false" ht="15" hidden="false" customHeight="true" outlineLevel="0" collapsed="false">
      <c r="A16" s="87" t="s">
        <v>182</v>
      </c>
      <c r="B16" s="97" t="n">
        <v>3</v>
      </c>
      <c r="C16" s="98" t="n">
        <v>2527</v>
      </c>
      <c r="D16" s="97" t="n">
        <f aca="false">B128</f>
        <v>24</v>
      </c>
      <c r="E16" s="99" t="n">
        <f aca="false">C128</f>
        <v>0.000119471829268724</v>
      </c>
      <c r="F16" s="90" t="n">
        <f aca="false">D128</f>
        <v>0.477060488934467</v>
      </c>
      <c r="G16" s="97" t="n">
        <f aca="false">B129</f>
        <v>48</v>
      </c>
      <c r="H16" s="99" t="n">
        <f aca="false">C129</f>
        <v>0.000101372843502227</v>
      </c>
      <c r="I16" s="90" t="n">
        <f aca="false">D129</f>
        <v>0.323035981622207</v>
      </c>
      <c r="J16" s="100" t="str">
        <f aca="false">IF(AND(F16="",I16=""),"No estimable con los datos disponibles.",IF(MAX(N(F16),N(I16))&gt;=0.3,"Señal apreciable: vale la pena priorizar este río para el corredor.",IF(MAX(N(F16),N(I16))&gt;=0.15,"Señal moderada.","Señal débil: la caña no explica la variabilidad observada.")))</f>
        <v>Señal apreciable: vale la pena priorizar este río para el corredor.</v>
      </c>
      <c r="K16" s="100"/>
      <c r="L16" s="100"/>
      <c r="M16" s="100"/>
      <c r="N16" s="100"/>
      <c r="O16" s="100"/>
      <c r="P16" s="100"/>
      <c r="Q16" s="100"/>
    </row>
    <row r="17" customFormat="false" ht="15" hidden="false" customHeight="true" outlineLevel="0" collapsed="false">
      <c r="A17" s="87" t="s">
        <v>190</v>
      </c>
      <c r="B17" s="97" t="n">
        <v>3</v>
      </c>
      <c r="C17" s="98" t="n">
        <v>266.9</v>
      </c>
      <c r="D17" s="97" t="n">
        <f aca="false">B140</f>
        <v>18</v>
      </c>
      <c r="E17" s="99" t="n">
        <f aca="false">C140</f>
        <v>0.00143390158611215</v>
      </c>
      <c r="F17" s="90" t="n">
        <f aca="false">D140</f>
        <v>0.231438052807347</v>
      </c>
      <c r="G17" s="97" t="n">
        <f aca="false">B141</f>
        <v>57</v>
      </c>
      <c r="H17" s="99" t="n">
        <f aca="false">C141</f>
        <v>2.6637876068966E-005</v>
      </c>
      <c r="I17" s="90" t="n">
        <f aca="false">D141</f>
        <v>1.97026558981958E-005</v>
      </c>
      <c r="J17" s="100" t="str">
        <f aca="false">IF(AND(F17="",I17=""),"No estimable con los datos disponibles.",IF(MAX(N(F17),N(I17))&gt;=0.3,"Señal apreciable: vale la pena priorizar este río para el corredor.",IF(MAX(N(F17),N(I17))&gt;=0.15,"Señal moderada.","Señal débil: la caña no explica la variabilidad observada.")))</f>
        <v>Señal moderada.</v>
      </c>
      <c r="K17" s="100"/>
      <c r="L17" s="100"/>
      <c r="M17" s="100"/>
      <c r="N17" s="100"/>
      <c r="O17" s="100"/>
      <c r="P17" s="100"/>
      <c r="Q17" s="100"/>
    </row>
    <row r="18" customFormat="false" ht="15" hidden="false" customHeight="true" outlineLevel="0" collapsed="false">
      <c r="A18" s="87" t="s">
        <v>197</v>
      </c>
      <c r="B18" s="97" t="n">
        <v>4</v>
      </c>
      <c r="C18" s="98" t="n">
        <v>504.8</v>
      </c>
      <c r="D18" s="97" t="n">
        <f aca="false">B153</f>
        <v>21</v>
      </c>
      <c r="E18" s="99" t="n">
        <f aca="false">C153</f>
        <v>7.7849142125373E-005</v>
      </c>
      <c r="F18" s="90" t="n">
        <f aca="false">D153</f>
        <v>0.016196064347465</v>
      </c>
      <c r="G18" s="97" t="n">
        <f aca="false">B154</f>
        <v>70</v>
      </c>
      <c r="H18" s="99" t="n">
        <f aca="false">C154</f>
        <v>-2.31988574640827E-005</v>
      </c>
      <c r="I18" s="90" t="n">
        <f aca="false">D154</f>
        <v>0.00465205325300852</v>
      </c>
      <c r="J18" s="100" t="str">
        <f aca="false">IF(AND(F18="",I18=""),"No estimable con los datos disponibles.",IF(MAX(N(F18),N(I18))&gt;=0.3,"Señal apreciable: vale la pena priorizar este río para el corredor.",IF(MAX(N(F18),N(I18))&gt;=0.15,"Señal moderada.","Señal débil: la caña no explica la variabilidad observada.")))</f>
        <v>Señal débil: la caña no explica la variabilidad observada.</v>
      </c>
      <c r="K18" s="100"/>
      <c r="L18" s="100"/>
      <c r="M18" s="100"/>
      <c r="N18" s="100"/>
      <c r="O18" s="100"/>
      <c r="P18" s="100"/>
      <c r="Q18" s="100"/>
    </row>
    <row r="19" customFormat="false" ht="15" hidden="false" customHeight="true" outlineLevel="0" collapsed="false">
      <c r="A19" s="87" t="s">
        <v>204</v>
      </c>
      <c r="B19" s="97" t="n">
        <v>4</v>
      </c>
      <c r="C19" s="98" t="n">
        <v>631.3</v>
      </c>
      <c r="D19" s="97" t="n">
        <f aca="false">B166</f>
        <v>32</v>
      </c>
      <c r="E19" s="99" t="n">
        <f aca="false">C166</f>
        <v>0.00137019491563315</v>
      </c>
      <c r="F19" s="90" t="n">
        <f aca="false">D166</f>
        <v>0.326360821821419</v>
      </c>
      <c r="G19" s="97" t="n">
        <f aca="false">B167</f>
        <v>70</v>
      </c>
      <c r="H19" s="99" t="n">
        <f aca="false">C167</f>
        <v>0.00188726762170627</v>
      </c>
      <c r="I19" s="90" t="n">
        <f aca="false">D167</f>
        <v>0.231020772091483</v>
      </c>
      <c r="J19" s="100" t="str">
        <f aca="false">IF(AND(F19="",I19=""),"No estimable con los datos disponibles.",IF(MAX(N(F19),N(I19))&gt;=0.3,"Señal apreciable: vale la pena priorizar este río para el corredor.",IF(MAX(N(F19),N(I19))&gt;=0.15,"Señal moderada.","Señal débil: la caña no explica la variabilidad observada.")))</f>
        <v>Señal apreciable: vale la pena priorizar este río para el corredor.</v>
      </c>
      <c r="K19" s="100"/>
      <c r="L19" s="100"/>
      <c r="M19" s="100"/>
      <c r="N19" s="100"/>
      <c r="O19" s="100"/>
      <c r="P19" s="100"/>
      <c r="Q19" s="100"/>
    </row>
    <row r="20" customFormat="false" ht="15" hidden="false" customHeight="true" outlineLevel="0" collapsed="false">
      <c r="A20" s="87" t="s">
        <v>212</v>
      </c>
      <c r="B20" s="97" t="n">
        <v>3</v>
      </c>
      <c r="C20" s="98" t="n">
        <v>1282.6</v>
      </c>
      <c r="D20" s="97" t="n">
        <f aca="false">B178</f>
        <v>21</v>
      </c>
      <c r="E20" s="99" t="n">
        <f aca="false">C178</f>
        <v>8.03249283910921E-005</v>
      </c>
      <c r="F20" s="90" t="n">
        <f aca="false">D178</f>
        <v>0.0101205637629832</v>
      </c>
      <c r="G20" s="97" t="n">
        <f aca="false">B179</f>
        <v>54</v>
      </c>
      <c r="H20" s="99" t="n">
        <f aca="false">C179</f>
        <v>3.90247962938301E-005</v>
      </c>
      <c r="I20" s="90" t="n">
        <f aca="false">D179</f>
        <v>0.0589440759849793</v>
      </c>
      <c r="J20" s="100" t="str">
        <f aca="false">IF(AND(F20="",I20=""),"No estimable con los datos disponibles.",IF(MAX(N(F20),N(I20))&gt;=0.3,"Señal apreciable: vale la pena priorizar este río para el corredor.",IF(MAX(N(F20),N(I20))&gt;=0.15,"Señal moderada.","Señal débil: la caña no explica la variabilidad observada.")))</f>
        <v>Señal débil: la caña no explica la variabilidad observada.</v>
      </c>
      <c r="K20" s="100"/>
      <c r="L20" s="100"/>
      <c r="M20" s="100"/>
      <c r="N20" s="100"/>
      <c r="O20" s="100"/>
      <c r="P20" s="100"/>
      <c r="Q20" s="100"/>
    </row>
    <row r="21" customFormat="false" ht="15" hidden="false" customHeight="true" outlineLevel="0" collapsed="false">
      <c r="A21" s="87" t="s">
        <v>219</v>
      </c>
      <c r="B21" s="97" t="n">
        <v>3</v>
      </c>
      <c r="C21" s="98" t="n">
        <v>1438.9</v>
      </c>
      <c r="D21" s="97" t="n">
        <f aca="false">B190</f>
        <v>18</v>
      </c>
      <c r="E21" s="99" t="n">
        <f aca="false">C190</f>
        <v>0.000110614653817715</v>
      </c>
      <c r="F21" s="90" t="n">
        <f aca="false">D190</f>
        <v>0.186380913135404</v>
      </c>
      <c r="G21" s="97" t="n">
        <f aca="false">B191</f>
        <v>54</v>
      </c>
      <c r="H21" s="99" t="n">
        <f aca="false">C191</f>
        <v>0.000454899979026318</v>
      </c>
      <c r="I21" s="90" t="n">
        <f aca="false">D191</f>
        <v>0.14444054237327</v>
      </c>
      <c r="J21" s="100" t="str">
        <f aca="false">IF(AND(F21="",I21=""),"No estimable con los datos disponibles.",IF(MAX(N(F21),N(I21))&gt;=0.3,"Señal apreciable: vale la pena priorizar este río para el corredor.",IF(MAX(N(F21),N(I21))&gt;=0.15,"Señal moderada.","Señal débil: la caña no explica la variabilidad observada.")))</f>
        <v>Señal moderada.</v>
      </c>
      <c r="K21" s="100"/>
      <c r="L21" s="100"/>
      <c r="M21" s="100"/>
      <c r="N21" s="100"/>
      <c r="O21" s="100"/>
      <c r="P21" s="100"/>
      <c r="Q21" s="100"/>
    </row>
    <row r="22" customFormat="false" ht="15" hidden="false" customHeight="true" outlineLevel="0" collapsed="false">
      <c r="A22" s="87" t="s">
        <v>224</v>
      </c>
      <c r="B22" s="97" t="n">
        <v>3</v>
      </c>
      <c r="C22" s="98" t="n">
        <v>678.4</v>
      </c>
      <c r="D22" s="97" t="n">
        <f aca="false">B202</f>
        <v>1</v>
      </c>
      <c r="E22" s="99" t="str">
        <f aca="false">C202</f>
        <v/>
      </c>
      <c r="F22" s="90" t="str">
        <f aca="false">D202</f>
        <v/>
      </c>
      <c r="G22" s="97" t="n">
        <f aca="false">B203</f>
        <v>1</v>
      </c>
      <c r="H22" s="99" t="str">
        <f aca="false">C203</f>
        <v/>
      </c>
      <c r="I22" s="90" t="str">
        <f aca="false">D203</f>
        <v/>
      </c>
      <c r="J22" s="100" t="str">
        <f aca="false">IF(AND(F22="",I22=""),"No estimable con los datos disponibles.",IF(MAX(N(F22),N(I22))&gt;=0.3,"Señal apreciable: vale la pena priorizar este río para el corredor.",IF(MAX(N(F22),N(I22))&gt;=0.15,"Señal moderada.","Señal débil: la caña no explica la variabilidad observada.")))</f>
        <v>No estimable con los datos disponibles.</v>
      </c>
      <c r="K22" s="100"/>
      <c r="L22" s="100"/>
      <c r="M22" s="100"/>
      <c r="N22" s="100"/>
      <c r="O22" s="100"/>
      <c r="P22" s="100"/>
      <c r="Q22" s="100"/>
    </row>
    <row r="25" customFormat="false" ht="18.75" hidden="false" customHeight="true" outlineLevel="0" collapsed="false">
      <c r="A25" s="95" t="s">
        <v>253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</row>
    <row r="26" customFormat="false" ht="30" hidden="false" customHeight="true" outlineLevel="0" collapsed="false">
      <c r="A26" s="96" t="s">
        <v>254</v>
      </c>
      <c r="B26" s="86" t="s">
        <v>255</v>
      </c>
      <c r="C26" s="86" t="s">
        <v>256</v>
      </c>
      <c r="D26" s="86" t="s">
        <v>257</v>
      </c>
      <c r="E26" s="86" t="s">
        <v>258</v>
      </c>
      <c r="F26" s="86" t="s">
        <v>259</v>
      </c>
      <c r="G26" s="86" t="s">
        <v>260</v>
      </c>
      <c r="H26" s="86" t="s">
        <v>261</v>
      </c>
      <c r="I26" s="86" t="s">
        <v>262</v>
      </c>
      <c r="J26" s="86" t="s">
        <v>263</v>
      </c>
      <c r="K26" s="86"/>
      <c r="L26" s="86" t="s">
        <v>264</v>
      </c>
      <c r="M26" s="86" t="s">
        <v>265</v>
      </c>
      <c r="N26" s="86" t="s">
        <v>266</v>
      </c>
      <c r="O26" s="86" t="s">
        <v>267</v>
      </c>
      <c r="P26" s="86" t="s">
        <v>268</v>
      </c>
      <c r="Q26" s="86" t="s">
        <v>269</v>
      </c>
    </row>
    <row r="27" customFormat="false" ht="25.5" hidden="false" customHeight="true" outlineLevel="0" collapsed="false">
      <c r="A27" s="100" t="s">
        <v>270</v>
      </c>
      <c r="B27" s="101" t="n">
        <v>10.938</v>
      </c>
      <c r="C27" s="98" t="n">
        <v>292.41</v>
      </c>
      <c r="D27" s="98" t="n">
        <v>292.41</v>
      </c>
      <c r="E27" s="102" t="n">
        <f aca="false">$D27*Parametros!$B$22</f>
        <v>877.23</v>
      </c>
      <c r="F27" s="102" t="n">
        <f aca="false">$D27*Parametros!$C$22</f>
        <v>1403.568</v>
      </c>
      <c r="G27" s="102" t="n">
        <f aca="false">$D27*Parametros!$D$22</f>
        <v>2924.1</v>
      </c>
      <c r="H27" s="102" t="n">
        <f aca="false">$D27*Parametros!$B$23</f>
        <v>29.241</v>
      </c>
      <c r="I27" s="102" t="n">
        <f aca="false">$D27*Parametros!$C$23</f>
        <v>175.446</v>
      </c>
      <c r="J27" s="102" t="n">
        <f aca="false">$D27*Parametros!$D$23</f>
        <v>438.615</v>
      </c>
      <c r="K27" s="89"/>
      <c r="L27" s="97" t="n">
        <f aca="false">COUNTIFS(Datos_Individuales!$C$5:$C$52,"Rio Bolo - Puente Pradera - Palmira",Datos_Individuales!$G$5:$G$52,"&lt;&gt;")</f>
        <v>6</v>
      </c>
      <c r="M27" s="90" t="n">
        <f aca="false">IF($L27=0,"",AVERAGEIFS(Datos_Individuales!$G$5:$G$52,Datos_Individuales!$C$5:$C$52,"Rio Bolo - Puente Pradera - Palmira"))</f>
        <v>1.10983333333333</v>
      </c>
      <c r="N27" s="90" t="n">
        <f aca="false">IF($L27&lt;2,"",SQRT(SUMPRODUCT((Datos_Individuales!$C$5:$C$52="Rio Bolo - Puente Pradera - Palmira")*(Datos_Individuales!$G$5:$G$52&lt;&gt;"")*(Datos_Individuales!$G$5:$G$52-$M27)^2)/($L27-1)))</f>
        <v>0.742593406021537</v>
      </c>
      <c r="O27" s="97" t="n">
        <f aca="false">COUNTIFS(Datos_Individuales!$C$5:$C$52,"Rio Bolo - Puente Pradera - Palmira",Datos_Individuales!$I$5:$I$52,"&lt;&gt;")</f>
        <v>16</v>
      </c>
      <c r="P27" s="90" t="n">
        <f aca="false">IF($O27=0,"",AVERAGEIFS(Datos_Individuales!$I$5:$I$52,Datos_Individuales!$C$5:$C$52,"Rio Bolo - Puente Pradera - Palmira"))</f>
        <v>0.1079625</v>
      </c>
      <c r="Q27" s="90" t="n">
        <f aca="false">IF($O27&lt;2,"",SQRT(SUMPRODUCT((Datos_Individuales!$C$5:$C$52="Rio Bolo - Puente Pradera - Palmira")*(Datos_Individuales!$I$5:$I$52&lt;&gt;"")*(Datos_Individuales!$I$5:$I$52-$P27)^2)/($O27-1)))</f>
        <v>0.0296809675269074</v>
      </c>
    </row>
    <row r="28" customFormat="false" ht="25.5" hidden="false" customHeight="true" outlineLevel="0" collapsed="false">
      <c r="A28" s="100" t="s">
        <v>271</v>
      </c>
      <c r="B28" s="101" t="n">
        <v>19.085</v>
      </c>
      <c r="C28" s="98" t="n">
        <v>1610.19</v>
      </c>
      <c r="D28" s="98" t="n">
        <v>1902.6</v>
      </c>
      <c r="E28" s="102" t="n">
        <f aca="false">$D28*Parametros!$B$22</f>
        <v>5707.8</v>
      </c>
      <c r="F28" s="102" t="n">
        <f aca="false">$D28*Parametros!$C$22</f>
        <v>9132.48</v>
      </c>
      <c r="G28" s="102" t="n">
        <f aca="false">$D28*Parametros!$D$22</f>
        <v>19026</v>
      </c>
      <c r="H28" s="102" t="n">
        <f aca="false">$D28*Parametros!$B$23</f>
        <v>190.26</v>
      </c>
      <c r="I28" s="102" t="n">
        <f aca="false">$D28*Parametros!$C$23</f>
        <v>1141.56</v>
      </c>
      <c r="J28" s="102" t="n">
        <f aca="false">$D28*Parametros!$D$23</f>
        <v>2853.9</v>
      </c>
      <c r="K28" s="89"/>
      <c r="L28" s="97" t="n">
        <f aca="false">COUNTIFS(Datos_Individuales!$C$5:$C$52,"Rio Bolo - Puente Bolo - San Isidro - vía a Candelaria",Datos_Individuales!$G$5:$G$52,"&lt;&gt;")</f>
        <v>6</v>
      </c>
      <c r="M28" s="90" t="n">
        <f aca="false">IF($L28=0,"",AVERAGEIFS(Datos_Individuales!$G$5:$G$52,Datos_Individuales!$C$5:$C$52,"Rio Bolo - Puente Bolo - San Isidro - vía a Candelaria"))</f>
        <v>3.08916666666667</v>
      </c>
      <c r="N28" s="90" t="n">
        <f aca="false">IF($L28&lt;2,"",SQRT(SUMPRODUCT((Datos_Individuales!$C$5:$C$52="Rio Bolo - Puente Bolo - San Isidro - vía a Candelaria")*(Datos_Individuales!$G$5:$G$52&lt;&gt;"")*(Datos_Individuales!$G$5:$G$52-$M28)^2)/($L28-1)))</f>
        <v>2.5449173202025</v>
      </c>
      <c r="O28" s="97" t="n">
        <f aca="false">COUNTIFS(Datos_Individuales!$C$5:$C$52,"Rio Bolo - Puente Bolo - San Isidro - vía a Candelaria",Datos_Individuales!$I$5:$I$52,"&lt;&gt;")</f>
        <v>16</v>
      </c>
      <c r="P28" s="90" t="n">
        <f aca="false">IF($O28=0,"",AVERAGEIFS(Datos_Individuales!$I$5:$I$52,Datos_Individuales!$C$5:$C$52,"Rio Bolo - Puente Bolo - San Isidro - vía a Candelaria"))</f>
        <v>0.1478125</v>
      </c>
      <c r="Q28" s="90" t="n">
        <f aca="false">IF($O28&lt;2,"",SQRT(SUMPRODUCT((Datos_Individuales!$C$5:$C$52="Rio Bolo - Puente Bolo - San Isidro - vía a Candelaria")*(Datos_Individuales!$I$5:$I$52&lt;&gt;"")*(Datos_Individuales!$I$5:$I$52-$P28)^2)/($O28-1)))</f>
        <v>0.0880558298278238</v>
      </c>
    </row>
    <row r="29" customFormat="false" ht="25.5" hidden="false" customHeight="true" outlineLevel="0" collapsed="false">
      <c r="A29" s="100" t="s">
        <v>272</v>
      </c>
      <c r="B29" s="101" t="n">
        <v>17.982</v>
      </c>
      <c r="C29" s="98" t="n">
        <v>1892.25</v>
      </c>
      <c r="D29" s="98" t="n">
        <v>3794.85</v>
      </c>
      <c r="E29" s="102" t="n">
        <f aca="false">$D29*Parametros!$B$22</f>
        <v>11384.55</v>
      </c>
      <c r="F29" s="102" t="n">
        <f aca="false">$D29*Parametros!$C$22</f>
        <v>18215.28</v>
      </c>
      <c r="G29" s="102" t="n">
        <f aca="false">$D29*Parametros!$D$22</f>
        <v>37948.5</v>
      </c>
      <c r="H29" s="102" t="n">
        <f aca="false">$D29*Parametros!$B$23</f>
        <v>379.485</v>
      </c>
      <c r="I29" s="102" t="n">
        <f aca="false">$D29*Parametros!$C$23</f>
        <v>2276.91</v>
      </c>
      <c r="J29" s="102" t="n">
        <f aca="false">$D29*Parametros!$D$23</f>
        <v>5692.275</v>
      </c>
      <c r="K29" s="89"/>
      <c r="L29" s="97" t="n">
        <f aca="false">COUNTIFS(Datos_Individuales!$C$5:$C$52,"Rio Bolo - Antes desembocadura a Frayle en puente Recta Cali - Palmira",Datos_Individuales!$G$5:$G$52,"&lt;&gt;")</f>
        <v>6</v>
      </c>
      <c r="M29" s="90" t="n">
        <f aca="false">IF($L29=0,"",AVERAGEIFS(Datos_Individuales!$G$5:$G$52,Datos_Individuales!$C$5:$C$52,"Rio Bolo - Antes desembocadura a Frayle en puente Recta Cali - Palmira"))</f>
        <v>3.014</v>
      </c>
      <c r="N29" s="90" t="n">
        <f aca="false">IF($L29&lt;2,"",SQRT(SUMPRODUCT((Datos_Individuales!$C$5:$C$52="Rio Bolo - Antes desembocadura a Frayle en puente Recta Cali - Palmira")*(Datos_Individuales!$G$5:$G$52&lt;&gt;"")*(Datos_Individuales!$G$5:$G$52-$M29)^2)/($L29-1)))</f>
        <v>1.8087432100771</v>
      </c>
      <c r="O29" s="97" t="n">
        <f aca="false">COUNTIFS(Datos_Individuales!$C$5:$C$52,"Rio Bolo - Antes desembocadura a Frayle en puente Recta Cali - Palmira",Datos_Individuales!$I$5:$I$52,"&lt;&gt;")</f>
        <v>16</v>
      </c>
      <c r="P29" s="90" t="n">
        <f aca="false">IF($O29=0,"",AVERAGEIFS(Datos_Individuales!$I$5:$I$52,Datos_Individuales!$C$5:$C$52,"Rio Bolo - Antes desembocadura a Frayle en puente Recta Cali - Palmira"))</f>
        <v>0.285775</v>
      </c>
      <c r="Q29" s="90" t="n">
        <f aca="false">IF($O29&lt;2,"",SQRT(SUMPRODUCT((Datos_Individuales!$C$5:$C$52="Rio Bolo - Antes desembocadura a Frayle en puente Recta Cali - Palmira")*(Datos_Individuales!$I$5:$I$52&lt;&gt;"")*(Datos_Individuales!$I$5:$I$52-$P29)^2)/($O29-1)))</f>
        <v>0.16958285487238</v>
      </c>
    </row>
    <row r="30" customFormat="false" ht="15" hidden="false" customHeight="true" outlineLevel="0" collapsed="false">
      <c r="A30" s="103" t="s">
        <v>273</v>
      </c>
      <c r="B30" s="104" t="n">
        <f aca="false">SUM(B27:B29)</f>
        <v>48.005</v>
      </c>
      <c r="C30" s="105" t="n">
        <f aca="false">SUM(C27:C29)</f>
        <v>3794.85</v>
      </c>
      <c r="D30" s="105" t="n">
        <f aca="false">D29</f>
        <v>3794.85</v>
      </c>
      <c r="E30" s="106" t="n">
        <f aca="false">E29</f>
        <v>11384.55</v>
      </c>
      <c r="F30" s="106" t="n">
        <f aca="false">F29</f>
        <v>18215.28</v>
      </c>
      <c r="G30" s="106" t="n">
        <f aca="false">G29</f>
        <v>37948.5</v>
      </c>
      <c r="H30" s="106" t="n">
        <f aca="false">H29</f>
        <v>379.485</v>
      </c>
      <c r="I30" s="106" t="n">
        <f aca="false">I29</f>
        <v>2276.91</v>
      </c>
      <c r="J30" s="106" t="n">
        <f aca="false">J29</f>
        <v>5692.275</v>
      </c>
      <c r="K30" s="107"/>
      <c r="L30" s="108"/>
      <c r="M30" s="109"/>
      <c r="N30" s="109"/>
      <c r="O30" s="108"/>
      <c r="P30" s="109"/>
      <c r="Q30" s="109"/>
    </row>
    <row r="31" customFormat="false" ht="13.5" hidden="false" customHeight="true" outlineLevel="0" collapsed="false">
      <c r="A31" s="110" t="s">
        <v>274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</row>
    <row r="32" customFormat="false" ht="25.5" hidden="false" customHeight="true" outlineLevel="0" collapsed="false">
      <c r="A32" s="111" t="s">
        <v>35</v>
      </c>
      <c r="B32" s="112" t="s">
        <v>275</v>
      </c>
      <c r="C32" s="112" t="s">
        <v>276</v>
      </c>
      <c r="D32" s="112" t="s">
        <v>277</v>
      </c>
      <c r="E32" s="112" t="s">
        <v>278</v>
      </c>
      <c r="F32" s="111" t="s">
        <v>102</v>
      </c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</row>
    <row r="33" customFormat="false" ht="15" hidden="false" customHeight="false" outlineLevel="0" collapsed="false">
      <c r="A33" s="88" t="s">
        <v>279</v>
      </c>
      <c r="B33" s="97" t="n">
        <f aca="false">COUNT(Datos_Individuales!$G$5:$G$52)</f>
        <v>18</v>
      </c>
      <c r="C33" s="99" t="n">
        <f aca="false">IF($B33&lt;3,"",IFERROR(SLOPE(Datos_Individuales!$G$5:$G$52,Datos_Individuales!$F$5:$F$52),""))</f>
        <v>0.000109746511945155</v>
      </c>
      <c r="D33" s="90" t="n">
        <f aca="false">IF($B33&lt;3,"",IFERROR(RSQ(Datos_Individuales!$G$5:$G$52,Datos_Individuales!$F$5:$F$52),""))</f>
        <v>0.153678409394208</v>
      </c>
      <c r="E33" s="90" t="n">
        <f aca="false">IF($B33&lt;3,"",IFERROR(CORREL(Datos_Individuales!$G$5:$G$52,Datos_Individuales!$F$5:$F$52),""))</f>
        <v>0.392018378898501</v>
      </c>
      <c r="F33" s="100" t="str">
        <f aca="false">IF($B33&lt;3,"Datos insuficientes para regresar.",IF($D33="","Todas las mediciones provienen de una sola estación: el eje x no varía y la regresión no es estimable.",IF($C33&lt;0,"Pendiente negativa: la concentración baja al aumentar la caña aguas arriba. No hay señal atribuible a la caña.",IF($D33&lt;0.1,"La carga de caña explica menos del 10% de la variabilidad observada.",IF($D33&lt;0.3,"Asociación débil: la caña explica una fracción menor de la variabilidad.",IF($D33&lt;0.5,"Asociación moderada.","Asociación relativamente fuerte para dato observacional."))))))</f>
        <v>Asociación débil: la caña explica una fracción menor de la variabilidad.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customFormat="false" ht="15" hidden="false" customHeight="false" outlineLevel="0" collapsed="false">
      <c r="A34" s="88" t="s">
        <v>280</v>
      </c>
      <c r="B34" s="97" t="n">
        <f aca="false">COUNT(Datos_Individuales!$I$5:$I$52)</f>
        <v>48</v>
      </c>
      <c r="C34" s="99" t="n">
        <f aca="false">IF($B34&lt;3,"",IFERROR(SLOPE(Datos_Individuales!$I$5:$I$52,Datos_Individuales!$H$5:$H$52),""))</f>
        <v>8.56816935416372E-005</v>
      </c>
      <c r="D34" s="90" t="n">
        <f aca="false">IF($B34&lt;3,"",IFERROR(RSQ(Datos_Individuales!$I$5:$I$52,Datos_Individuales!$H$5:$H$52),""))</f>
        <v>0.309616900092049</v>
      </c>
      <c r="E34" s="90" t="n">
        <f aca="false">IF($B34&lt;3,"",IFERROR(CORREL(Datos_Individuales!$I$5:$I$52,Datos_Individuales!$H$5:$H$52),""))</f>
        <v>0.55643229605411</v>
      </c>
      <c r="F34" s="100" t="str">
        <f aca="false">IF($B34&lt;3,"Datos insuficientes para regresar.",IF($D34="","Todas las mediciones provienen de una sola estación: el eje x no varía y la regresión no es estimable.",IF($C34&lt;0,"Pendiente negativa: la concentración baja al aumentar la caña aguas arriba. No hay señal atribuible a la caña.",IF($D34&lt;0.1,"La carga de caña explica menos del 10% de la variabilidad observada.",IF($D34&lt;0.3,"Asociación débil: la caña explica una fracción menor de la variabilidad.",IF($D34&lt;0.5,"Asociación moderada.","Asociación relativamente fuerte para dato observacional."))))))</f>
        <v>Asociación moderada.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</row>
    <row r="37" customFormat="false" ht="18.75" hidden="false" customHeight="true" outlineLevel="0" collapsed="false">
      <c r="A37" s="95" t="s">
        <v>281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</row>
    <row r="38" customFormat="false" ht="30" hidden="false" customHeight="true" outlineLevel="0" collapsed="false">
      <c r="A38" s="96" t="s">
        <v>254</v>
      </c>
      <c r="B38" s="86" t="s">
        <v>255</v>
      </c>
      <c r="C38" s="86" t="s">
        <v>256</v>
      </c>
      <c r="D38" s="86" t="s">
        <v>257</v>
      </c>
      <c r="E38" s="86" t="s">
        <v>258</v>
      </c>
      <c r="F38" s="86" t="s">
        <v>259</v>
      </c>
      <c r="G38" s="86" t="s">
        <v>260</v>
      </c>
      <c r="H38" s="86" t="s">
        <v>261</v>
      </c>
      <c r="I38" s="86" t="s">
        <v>262</v>
      </c>
      <c r="J38" s="86" t="s">
        <v>263</v>
      </c>
      <c r="K38" s="86"/>
      <c r="L38" s="86" t="s">
        <v>264</v>
      </c>
      <c r="M38" s="86" t="s">
        <v>265</v>
      </c>
      <c r="N38" s="86" t="s">
        <v>266</v>
      </c>
      <c r="O38" s="86" t="s">
        <v>267</v>
      </c>
      <c r="P38" s="86" t="s">
        <v>268</v>
      </c>
      <c r="Q38" s="86" t="s">
        <v>269</v>
      </c>
    </row>
    <row r="39" customFormat="false" ht="25.5" hidden="false" customHeight="true" outlineLevel="0" collapsed="false">
      <c r="A39" s="100" t="s">
        <v>282</v>
      </c>
      <c r="B39" s="101" t="n">
        <v>28.879</v>
      </c>
      <c r="C39" s="98" t="n">
        <v>92.77</v>
      </c>
      <c r="D39" s="98" t="n">
        <v>92.77</v>
      </c>
      <c r="E39" s="102" t="n">
        <f aca="false">$D39*Parametros!$B$22</f>
        <v>278.31</v>
      </c>
      <c r="F39" s="102" t="n">
        <f aca="false">$D39*Parametros!$C$22</f>
        <v>445.296</v>
      </c>
      <c r="G39" s="102" t="n">
        <f aca="false">$D39*Parametros!$D$22</f>
        <v>927.7</v>
      </c>
      <c r="H39" s="102" t="n">
        <f aca="false">$D39*Parametros!$B$23</f>
        <v>9.277</v>
      </c>
      <c r="I39" s="102" t="n">
        <f aca="false">$D39*Parametros!$C$23</f>
        <v>55.662</v>
      </c>
      <c r="J39" s="102" t="n">
        <f aca="false">$D39*Parametros!$D$23</f>
        <v>139.155</v>
      </c>
      <c r="K39" s="89"/>
      <c r="L39" s="97" t="n">
        <f aca="false">COUNTIFS(Datos_Individuales!$C$53:$C$95,"Rio Frayle - Puente Vía a Miranda",Datos_Individuales!$G$53:$G$95,"&lt;&gt;")</f>
        <v>6</v>
      </c>
      <c r="M39" s="90" t="n">
        <f aca="false">IF($L39=0,"",AVERAGEIFS(Datos_Individuales!$G$53:$G$95,Datos_Individuales!$C$53:$C$95,"Rio Frayle - Puente Vía a Miranda"))</f>
        <v>4.38883333333333</v>
      </c>
      <c r="N39" s="90" t="n">
        <f aca="false">IF($L39&lt;2,"",SQRT(SUMPRODUCT((Datos_Individuales!$C$53:$C$95="Rio Frayle - Puente Vía a Miranda")*(Datos_Individuales!$G$53:$G$95&lt;&gt;"")*(Datos_Individuales!$G$53:$G$95-$M39)^2)/($L39-1)))</f>
        <v>3.81631761868253</v>
      </c>
      <c r="O39" s="97" t="n">
        <f aca="false">COUNTIFS(Datos_Individuales!$C$53:$C$95,"Rio Frayle - Puente Vía a Miranda",Datos_Individuales!$I$53:$I$95,"&lt;&gt;")</f>
        <v>16</v>
      </c>
      <c r="P39" s="90" t="n">
        <f aca="false">IF($O39=0,"",AVERAGEIFS(Datos_Individuales!$I$53:$I$95,Datos_Individuales!$C$53:$C$95,"Rio Frayle - Puente Vía a Miranda"))</f>
        <v>0.28624375</v>
      </c>
      <c r="Q39" s="90" t="n">
        <f aca="false">IF($O39&lt;2,"",SQRT(SUMPRODUCT((Datos_Individuales!$C$53:$C$95="Rio Frayle - Puente Vía a Miranda")*(Datos_Individuales!$I$53:$I$95&lt;&gt;"")*(Datos_Individuales!$I$53:$I$95-$P39)^2)/($O39-1)))</f>
        <v>0.365810530135934</v>
      </c>
    </row>
    <row r="40" customFormat="false" ht="25.5" hidden="false" customHeight="true" outlineLevel="0" collapsed="false">
      <c r="A40" s="100" t="s">
        <v>283</v>
      </c>
      <c r="B40" s="101" t="n">
        <v>23.263</v>
      </c>
      <c r="C40" s="98" t="n">
        <v>1948.71</v>
      </c>
      <c r="D40" s="98" t="n">
        <v>2041.48</v>
      </c>
      <c r="E40" s="102" t="n">
        <f aca="false">$D40*Parametros!$B$22</f>
        <v>6124.44</v>
      </c>
      <c r="F40" s="102" t="n">
        <f aca="false">$D40*Parametros!$C$22</f>
        <v>9799.104</v>
      </c>
      <c r="G40" s="102" t="n">
        <f aca="false">$D40*Parametros!$D$22</f>
        <v>20414.8</v>
      </c>
      <c r="H40" s="102" t="n">
        <f aca="false">$D40*Parametros!$B$23</f>
        <v>204.148</v>
      </c>
      <c r="I40" s="102" t="n">
        <f aca="false">$D40*Parametros!$C$23</f>
        <v>1224.888</v>
      </c>
      <c r="J40" s="102" t="n">
        <f aca="false">$D40*Parametros!$D$23</f>
        <v>3062.22</v>
      </c>
      <c r="K40" s="89"/>
      <c r="L40" s="97" t="n">
        <f aca="false">COUNTIFS(Datos_Individuales!$C$53:$C$95,"Rio Frayle - Limnigrafo CVC - caserio Brisas de Frayle",Datos_Individuales!$G$53:$G$95,"&lt;&gt;")</f>
        <v>6</v>
      </c>
      <c r="M40" s="90" t="n">
        <f aca="false">IF($L40=0,"",AVERAGEIFS(Datos_Individuales!$G$53:$G$95,Datos_Individuales!$C$53:$C$95,"Rio Frayle - Limnigrafo CVC - caserio Brisas de Frayle"))</f>
        <v>2.18666666666667</v>
      </c>
      <c r="N40" s="90" t="n">
        <f aca="false">IF($L40&lt;2,"",SQRT(SUMPRODUCT((Datos_Individuales!$C$53:$C$95="Rio Frayle - Limnigrafo CVC - caserio Brisas de Frayle")*(Datos_Individuales!$G$53:$G$95&lt;&gt;"")*(Datos_Individuales!$G$53:$G$95-$M40)^2)/($L40-1)))</f>
        <v>1.2481292668096</v>
      </c>
      <c r="O40" s="97" t="n">
        <f aca="false">COUNTIFS(Datos_Individuales!$C$53:$C$95,"Rio Frayle - Limnigrafo CVC - caserio Brisas de Frayle",Datos_Individuales!$I$53:$I$95,"&lt;&gt;")</f>
        <v>16</v>
      </c>
      <c r="P40" s="90" t="n">
        <f aca="false">IF($O40=0,"",AVERAGEIFS(Datos_Individuales!$I$53:$I$95,Datos_Individuales!$C$53:$C$95,"Rio Frayle - Limnigrafo CVC - caserio Brisas de Frayle"))</f>
        <v>0.2225625</v>
      </c>
      <c r="Q40" s="90" t="n">
        <f aca="false">IF($O40&lt;2,"",SQRT(SUMPRODUCT((Datos_Individuales!$C$53:$C$95="Rio Frayle - Limnigrafo CVC - caserio Brisas de Frayle")*(Datos_Individuales!$I$53:$I$95&lt;&gt;"")*(Datos_Individuales!$I$53:$I$95-$P40)^2)/($O40-1)))</f>
        <v>0.219834616245941</v>
      </c>
    </row>
    <row r="41" customFormat="false" ht="25.5" hidden="false" customHeight="true" outlineLevel="0" collapsed="false">
      <c r="A41" s="100" t="s">
        <v>284</v>
      </c>
      <c r="B41" s="101" t="n">
        <v>28.479</v>
      </c>
      <c r="C41" s="98" t="n">
        <v>2948.52</v>
      </c>
      <c r="D41" s="98" t="n">
        <v>4990</v>
      </c>
      <c r="E41" s="102" t="n">
        <f aca="false">$D41*Parametros!$B$22</f>
        <v>14970</v>
      </c>
      <c r="F41" s="102" t="n">
        <f aca="false">$D41*Parametros!$C$22</f>
        <v>23952</v>
      </c>
      <c r="G41" s="102" t="n">
        <f aca="false">$D41*Parametros!$D$22</f>
        <v>49900</v>
      </c>
      <c r="H41" s="102" t="n">
        <f aca="false">$D41*Parametros!$B$23</f>
        <v>499</v>
      </c>
      <c r="I41" s="102" t="n">
        <f aca="false">$D41*Parametros!$C$23</f>
        <v>2994</v>
      </c>
      <c r="J41" s="102" t="n">
        <f aca="false">$D41*Parametros!$D$23</f>
        <v>7485</v>
      </c>
      <c r="K41" s="89"/>
      <c r="L41" s="97" t="n">
        <f aca="false">COUNTIFS(Datos_Individuales!$C$53:$C$95,"Rio Frayle - Antes Desembocadura a rio Guachal Recta Cali Palmira",Datos_Individuales!$G$53:$G$95,"&lt;&gt;")</f>
        <v>4</v>
      </c>
      <c r="M41" s="90" t="n">
        <f aca="false">IF($L41=0,"",AVERAGEIFS(Datos_Individuales!$G$53:$G$95,Datos_Individuales!$C$53:$C$95,"Rio Frayle - Antes Desembocadura a rio Guachal Recta Cali Palmira"))</f>
        <v>2.91</v>
      </c>
      <c r="N41" s="90" t="n">
        <f aca="false">IF($L41&lt;2,"",SQRT(SUMPRODUCT((Datos_Individuales!$C$53:$C$95="Rio Frayle - Antes Desembocadura a rio Guachal Recta Cali Palmira")*(Datos_Individuales!$G$53:$G$95&lt;&gt;"")*(Datos_Individuales!$G$53:$G$95-$M41)^2)/($L41-1)))</f>
        <v>0.952435474629821</v>
      </c>
      <c r="O41" s="97" t="n">
        <f aca="false">COUNTIFS(Datos_Individuales!$C$53:$C$95,"Rio Frayle - Antes Desembocadura a rio Guachal Recta Cali Palmira",Datos_Individuales!$I$53:$I$95,"&lt;&gt;")</f>
        <v>11</v>
      </c>
      <c r="P41" s="90" t="n">
        <f aca="false">IF($O41=0,"",AVERAGEIFS(Datos_Individuales!$I$53:$I$95,Datos_Individuales!$C$53:$C$95,"Rio Frayle - Antes Desembocadura a rio Guachal Recta Cali Palmira"))</f>
        <v>0.421072727272727</v>
      </c>
      <c r="Q41" s="90" t="n">
        <f aca="false">IF($O41&lt;2,"",SQRT(SUMPRODUCT((Datos_Individuales!$C$53:$C$95="Rio Frayle - Antes Desembocadura a rio Guachal Recta Cali Palmira")*(Datos_Individuales!$I$53:$I$95&lt;&gt;"")*(Datos_Individuales!$I$53:$I$95-$P41)^2)/($O41-1)))</f>
        <v>0.269592834069858</v>
      </c>
    </row>
    <row r="42" customFormat="false" ht="15" hidden="false" customHeight="true" outlineLevel="0" collapsed="false">
      <c r="A42" s="103" t="s">
        <v>273</v>
      </c>
      <c r="B42" s="104" t="n">
        <f aca="false">SUM(B39:B41)</f>
        <v>80.621</v>
      </c>
      <c r="C42" s="105" t="n">
        <f aca="false">SUM(C39:C41)</f>
        <v>4990</v>
      </c>
      <c r="D42" s="105" t="n">
        <f aca="false">D41</f>
        <v>4990</v>
      </c>
      <c r="E42" s="106" t="n">
        <f aca="false">E41</f>
        <v>14970</v>
      </c>
      <c r="F42" s="106" t="n">
        <f aca="false">F41</f>
        <v>23952</v>
      </c>
      <c r="G42" s="106" t="n">
        <f aca="false">G41</f>
        <v>49900</v>
      </c>
      <c r="H42" s="106" t="n">
        <f aca="false">H41</f>
        <v>499</v>
      </c>
      <c r="I42" s="106" t="n">
        <f aca="false">I41</f>
        <v>2994</v>
      </c>
      <c r="J42" s="106" t="n">
        <f aca="false">J41</f>
        <v>7485</v>
      </c>
      <c r="K42" s="107"/>
      <c r="L42" s="108"/>
      <c r="M42" s="109"/>
      <c r="N42" s="109"/>
      <c r="O42" s="108"/>
      <c r="P42" s="109"/>
      <c r="Q42" s="109"/>
    </row>
    <row r="43" customFormat="false" ht="13.5" hidden="false" customHeight="true" outlineLevel="0" collapsed="false">
      <c r="A43" s="110" t="s">
        <v>274</v>
      </c>
      <c r="B43" s="110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</row>
    <row r="44" customFormat="false" ht="25.5" hidden="false" customHeight="true" outlineLevel="0" collapsed="false">
      <c r="A44" s="111" t="s">
        <v>35</v>
      </c>
      <c r="B44" s="112" t="s">
        <v>275</v>
      </c>
      <c r="C44" s="112" t="s">
        <v>276</v>
      </c>
      <c r="D44" s="112" t="s">
        <v>277</v>
      </c>
      <c r="E44" s="112" t="s">
        <v>278</v>
      </c>
      <c r="F44" s="111" t="s">
        <v>102</v>
      </c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</row>
    <row r="45" customFormat="false" ht="15" hidden="false" customHeight="false" outlineLevel="0" collapsed="false">
      <c r="A45" s="88" t="s">
        <v>279</v>
      </c>
      <c r="B45" s="97" t="n">
        <f aca="false">COUNT(Datos_Individuales!$G$53:$G$95)</f>
        <v>16</v>
      </c>
      <c r="C45" s="99" t="n">
        <f aca="false">IF($B45&lt;3,"",IFERROR(SLOPE(Datos_Individuales!$G$53:$G$95,Datos_Individuales!$F$53:$F$95),""))</f>
        <v>-6.26881165417488E-005</v>
      </c>
      <c r="D45" s="90" t="n">
        <f aca="false">IF($B45&lt;3,"",IFERROR(RSQ(Datos_Individuales!$G$53:$G$95,Datos_Individuales!$F$53:$F$95),""))</f>
        <v>0.0530122743253594</v>
      </c>
      <c r="E45" s="90" t="n">
        <f aca="false">IF($B45&lt;3,"",IFERROR(CORREL(Datos_Individuales!$G$53:$G$95,Datos_Individuales!$F$53:$F$95),""))</f>
        <v>-0.230243945252333</v>
      </c>
      <c r="F45" s="100" t="str">
        <f aca="false">IF($B45&lt;3,"Datos insuficientes para regresar.",IF($D45="","Todas las mediciones provienen de una sola estación: el eje x no varía y la regresión no es estimable.",IF($C45&lt;0,"Pendiente negativa: la concentración baja al aumentar la caña aguas arriba. No hay señal atribuible a la caña.",IF($D45&lt;0.1,"La carga de caña explica menos del 10% de la variabilidad observada.",IF($D45&lt;0.3,"Asociación débil: la caña explica una fracción menor de la variabilidad.",IF($D45&lt;0.5,"Asociación moderada.","Asociación relativamente fuerte para dato observacional."))))))</f>
        <v>Pendiente negativa: la concentración baja al aumentar la caña aguas arriba. No hay señal atribuible a la caña.</v>
      </c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</row>
    <row r="46" customFormat="false" ht="15" hidden="false" customHeight="false" outlineLevel="0" collapsed="false">
      <c r="A46" s="88" t="s">
        <v>280</v>
      </c>
      <c r="B46" s="97" t="n">
        <f aca="false">COUNT(Datos_Individuales!$I$53:$I$95)</f>
        <v>43</v>
      </c>
      <c r="C46" s="99" t="n">
        <f aca="false">IF($B46&lt;3,"",IFERROR(SLOPE(Datos_Individuales!$I$53:$I$95,Datos_Individuales!$H$53:$H$95),""))</f>
        <v>4.64698911910347E-005</v>
      </c>
      <c r="D46" s="90" t="n">
        <f aca="false">IF($B46&lt;3,"",IFERROR(RSQ(Datos_Individuales!$I$53:$I$95,Datos_Individuales!$H$53:$H$95),""))</f>
        <v>0.0326852384268243</v>
      </c>
      <c r="E46" s="90" t="n">
        <f aca="false">IF($B46&lt;3,"",IFERROR(CORREL(Datos_Individuales!$I$53:$I$95,Datos_Individuales!$H$53:$H$95),""))</f>
        <v>0.180790592749801</v>
      </c>
      <c r="F46" s="100" t="str">
        <f aca="false">IF($B46&lt;3,"Datos insuficientes para regresar.",IF($D46="","Todas las mediciones provienen de una sola estación: el eje x no varía y la regresión no es estimable.",IF($C46&lt;0,"Pendiente negativa: la concentración baja al aumentar la caña aguas arriba. No hay señal atribuible a la caña.",IF($D46&lt;0.1,"La carga de caña explica menos del 10% de la variabilidad observada.",IF($D46&lt;0.3,"Asociación débil: la caña explica una fracción menor de la variabilidad.",IF($D46&lt;0.5,"Asociación moderada.","Asociación relativamente fuerte para dato observacional."))))))</f>
        <v>La carga de caña explica menos del 10% de la variabilidad observada.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</row>
    <row r="49" customFormat="false" ht="18.75" hidden="false" customHeight="true" outlineLevel="0" collapsed="false">
      <c r="A49" s="95" t="s">
        <v>285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</row>
    <row r="50" customFormat="false" ht="30" hidden="false" customHeight="true" outlineLevel="0" collapsed="false">
      <c r="A50" s="96" t="s">
        <v>254</v>
      </c>
      <c r="B50" s="86" t="s">
        <v>255</v>
      </c>
      <c r="C50" s="86" t="s">
        <v>256</v>
      </c>
      <c r="D50" s="86" t="s">
        <v>257</v>
      </c>
      <c r="E50" s="86" t="s">
        <v>258</v>
      </c>
      <c r="F50" s="86" t="s">
        <v>259</v>
      </c>
      <c r="G50" s="86" t="s">
        <v>260</v>
      </c>
      <c r="H50" s="86" t="s">
        <v>261</v>
      </c>
      <c r="I50" s="86" t="s">
        <v>262</v>
      </c>
      <c r="J50" s="86" t="s">
        <v>263</v>
      </c>
      <c r="K50" s="86"/>
      <c r="L50" s="86" t="s">
        <v>264</v>
      </c>
      <c r="M50" s="86" t="s">
        <v>265</v>
      </c>
      <c r="N50" s="86" t="s">
        <v>266</v>
      </c>
      <c r="O50" s="86" t="s">
        <v>267</v>
      </c>
      <c r="P50" s="86" t="s">
        <v>268</v>
      </c>
      <c r="Q50" s="86" t="s">
        <v>269</v>
      </c>
    </row>
    <row r="51" customFormat="false" ht="25.5" hidden="false" customHeight="true" outlineLevel="0" collapsed="false">
      <c r="A51" s="100" t="s">
        <v>286</v>
      </c>
      <c r="B51" s="101" t="n">
        <v>5.964</v>
      </c>
      <c r="C51" s="98" t="n">
        <v>441.4</v>
      </c>
      <c r="D51" s="98" t="n">
        <v>441.4</v>
      </c>
      <c r="E51" s="102" t="n">
        <f aca="false">$D51*Parametros!$B$22</f>
        <v>1324.2</v>
      </c>
      <c r="F51" s="102" t="n">
        <f aca="false">$D51*Parametros!$C$22</f>
        <v>2118.72</v>
      </c>
      <c r="G51" s="102" t="n">
        <f aca="false">$D51*Parametros!$D$22</f>
        <v>4414</v>
      </c>
      <c r="H51" s="102" t="n">
        <f aca="false">$D51*Parametros!$B$23</f>
        <v>44.14</v>
      </c>
      <c r="I51" s="102" t="n">
        <f aca="false">$D51*Parametros!$C$23</f>
        <v>264.84</v>
      </c>
      <c r="J51" s="102" t="n">
        <f aca="false">$D51*Parametros!$D$23</f>
        <v>662.1</v>
      </c>
      <c r="K51" s="89"/>
      <c r="L51" s="97" t="n">
        <f aca="false">COUNTIFS(Datos_Individuales!$C$96:$C$111,"GG2 - Puente vía Yumbo-Aeropuerto",Datos_Individuales!$G$96:$G$111,"&lt;&gt;")</f>
        <v>0</v>
      </c>
      <c r="M51" s="90" t="str">
        <f aca="false">IF($L51=0,"",AVERAGEIFS(Datos_Individuales!$G$96:$G$111,Datos_Individuales!$C$96:$C$111,"GG2 - Puente vía Yumbo-Aeropuerto"))</f>
        <v/>
      </c>
      <c r="N51" s="90" t="str">
        <f aca="false">IF($L51&lt;2,"",SQRT(SUMPRODUCT((Datos_Individuales!$C$96:$C$111="GG2 - Puente vía Yumbo-Aeropuerto")*(Datos_Individuales!$G$96:$G$111&lt;&gt;"")*(Datos_Individuales!$G$96:$G$111-$M51)^2)/($L51-1)))</f>
        <v/>
      </c>
      <c r="O51" s="97" t="n">
        <f aca="false">COUNTIFS(Datos_Individuales!$C$96:$C$111,"GG2 - Puente vía Yumbo-Aeropuerto",Datos_Individuales!$I$96:$I$111,"&lt;&gt;")</f>
        <v>0</v>
      </c>
      <c r="P51" s="90" t="str">
        <f aca="false">IF($O51=0,"",AVERAGEIFS(Datos_Individuales!$I$96:$I$111,Datos_Individuales!$C$96:$C$111,"GG2 - Puente vía Yumbo-Aeropuerto"))</f>
        <v/>
      </c>
      <c r="Q51" s="90" t="str">
        <f aca="false">IF($O51&lt;2,"",SQRT(SUMPRODUCT((Datos_Individuales!$C$96:$C$111="GG2 - Puente vía Yumbo-Aeropuerto")*(Datos_Individuales!$I$96:$I$111&lt;&gt;"")*(Datos_Individuales!$I$96:$I$111-$P51)^2)/($O51-1)))</f>
        <v/>
      </c>
    </row>
    <row r="52" customFormat="false" ht="25.5" hidden="false" customHeight="true" outlineLevel="0" collapsed="false">
      <c r="A52" s="100" t="s">
        <v>287</v>
      </c>
      <c r="B52" s="101" t="n">
        <v>5.02</v>
      </c>
      <c r="C52" s="98" t="n">
        <v>213.34</v>
      </c>
      <c r="D52" s="98" t="n">
        <v>654.74</v>
      </c>
      <c r="E52" s="102" t="n">
        <f aca="false">$D52*Parametros!$B$22</f>
        <v>1964.22</v>
      </c>
      <c r="F52" s="102" t="n">
        <f aca="false">$D52*Parametros!$C$22</f>
        <v>3142.752</v>
      </c>
      <c r="G52" s="102" t="n">
        <f aca="false">$D52*Parametros!$D$22</f>
        <v>6547.4</v>
      </c>
      <c r="H52" s="102" t="n">
        <f aca="false">$D52*Parametros!$B$23</f>
        <v>65.474</v>
      </c>
      <c r="I52" s="102" t="n">
        <f aca="false">$D52*Parametros!$C$23</f>
        <v>392.844</v>
      </c>
      <c r="J52" s="102" t="n">
        <f aca="false">$D52*Parametros!$D$23</f>
        <v>982.11</v>
      </c>
      <c r="K52" s="89"/>
      <c r="L52" s="97" t="n">
        <f aca="false">COUNTIFS(Datos_Individuales!$C$96:$C$111,"GG3 - Rio Guachal - Antes Desembocadura a Rio Cauca",Datos_Individuales!$G$96:$G$111,"&lt;&gt;")</f>
        <v>5</v>
      </c>
      <c r="M52" s="90" t="n">
        <f aca="false">IF($L52=0,"",AVERAGEIFS(Datos_Individuales!$G$96:$G$111,Datos_Individuales!$C$96:$C$111,"GG3 - Rio Guachal - Antes Desembocadura a Rio Cauca"))</f>
        <v>2.808</v>
      </c>
      <c r="N52" s="90" t="n">
        <f aca="false">IF($L52&lt;2,"",SQRT(SUMPRODUCT((Datos_Individuales!$C$96:$C$111="GG3 - Rio Guachal - Antes Desembocadura a Rio Cauca")*(Datos_Individuales!$G$96:$G$111&lt;&gt;"")*(Datos_Individuales!$G$96:$G$111-$M52)^2)/($L52-1)))</f>
        <v>0.45466471162825</v>
      </c>
      <c r="O52" s="97" t="n">
        <f aca="false">COUNTIFS(Datos_Individuales!$C$96:$C$111,"GG3 - Rio Guachal - Antes Desembocadura a Rio Cauca",Datos_Individuales!$I$96:$I$111,"&lt;&gt;")</f>
        <v>16</v>
      </c>
      <c r="P52" s="90" t="n">
        <f aca="false">IF($O52=0,"",AVERAGEIFS(Datos_Individuales!$I$96:$I$111,Datos_Individuales!$C$96:$C$111,"GG3 - Rio Guachal - Antes Desembocadura a Rio Cauca"))</f>
        <v>0.3963</v>
      </c>
      <c r="Q52" s="90" t="n">
        <f aca="false">IF($O52&lt;2,"",SQRT(SUMPRODUCT((Datos_Individuales!$C$96:$C$111="GG3 - Rio Guachal - Antes Desembocadura a Rio Cauca")*(Datos_Individuales!$I$96:$I$111&lt;&gt;"")*(Datos_Individuales!$I$96:$I$111-$P52)^2)/($O52-1)))</f>
        <v>0.197225011936451</v>
      </c>
    </row>
    <row r="53" customFormat="false" ht="15" hidden="false" customHeight="true" outlineLevel="0" collapsed="false">
      <c r="A53" s="103" t="s">
        <v>273</v>
      </c>
      <c r="B53" s="104" t="n">
        <f aca="false">SUM(B51:B52)</f>
        <v>10.984</v>
      </c>
      <c r="C53" s="105" t="n">
        <f aca="false">SUM(C51:C52)</f>
        <v>654.74</v>
      </c>
      <c r="D53" s="105" t="n">
        <f aca="false">D52</f>
        <v>654.74</v>
      </c>
      <c r="E53" s="106" t="n">
        <f aca="false">E52</f>
        <v>1964.22</v>
      </c>
      <c r="F53" s="106" t="n">
        <f aca="false">F52</f>
        <v>3142.752</v>
      </c>
      <c r="G53" s="106" t="n">
        <f aca="false">G52</f>
        <v>6547.4</v>
      </c>
      <c r="H53" s="106" t="n">
        <f aca="false">H52</f>
        <v>65.474</v>
      </c>
      <c r="I53" s="106" t="n">
        <f aca="false">I52</f>
        <v>392.844</v>
      </c>
      <c r="J53" s="106" t="n">
        <f aca="false">J52</f>
        <v>982.11</v>
      </c>
      <c r="K53" s="107"/>
      <c r="L53" s="108"/>
      <c r="M53" s="109"/>
      <c r="N53" s="109"/>
      <c r="O53" s="108"/>
      <c r="P53" s="109"/>
      <c r="Q53" s="109"/>
    </row>
    <row r="54" customFormat="false" ht="13.5" hidden="false" customHeight="true" outlineLevel="0" collapsed="false">
      <c r="A54" s="110" t="s">
        <v>274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  <row r="55" customFormat="false" ht="25.5" hidden="false" customHeight="true" outlineLevel="0" collapsed="false">
      <c r="A55" s="111" t="s">
        <v>35</v>
      </c>
      <c r="B55" s="112" t="s">
        <v>275</v>
      </c>
      <c r="C55" s="112" t="s">
        <v>276</v>
      </c>
      <c r="D55" s="112" t="s">
        <v>277</v>
      </c>
      <c r="E55" s="112" t="s">
        <v>278</v>
      </c>
      <c r="F55" s="111" t="s">
        <v>102</v>
      </c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</row>
    <row r="56" customFormat="false" ht="15" hidden="false" customHeight="false" outlineLevel="0" collapsed="false">
      <c r="A56" s="88" t="s">
        <v>279</v>
      </c>
      <c r="B56" s="97" t="n">
        <f aca="false">COUNT(Datos_Individuales!$G$96:$G$111)</f>
        <v>5</v>
      </c>
      <c r="C56" s="99" t="str">
        <f aca="false">IF($B56&lt;3,"",IFERROR(SLOPE(Datos_Individuales!$G$96:$G$111,Datos_Individuales!$F$96:$F$111),""))</f>
        <v/>
      </c>
      <c r="D56" s="90" t="str">
        <f aca="false">IF($B56&lt;3,"",IFERROR(RSQ(Datos_Individuales!$G$96:$G$111,Datos_Individuales!$F$96:$F$111),""))</f>
        <v/>
      </c>
      <c r="E56" s="90" t="str">
        <f aca="false">IF($B56&lt;3,"",IFERROR(CORREL(Datos_Individuales!$G$96:$G$111,Datos_Individuales!$F$96:$F$111),""))</f>
        <v/>
      </c>
      <c r="F56" s="100" t="str">
        <f aca="false">IF($B56&lt;3,"Datos insuficientes para regresar.",IF($D56="","Todas las mediciones provienen de una sola estación: el eje x no varía y la regresión no es estimable.",IF($C56&lt;0,"Pendiente negativa: la concentración baja al aumentar la caña aguas arriba. No hay señal atribuible a la caña.",IF($D56&lt;0.1,"La carga de caña explica menos del 10% de la variabilidad observada.",IF($D56&lt;0.3,"Asociación débil: la caña explica una fracción menor de la variabilidad.",IF($D56&lt;0.5,"Asociación moderada.","Asociación relativamente fuerte para dato observacional."))))))</f>
        <v>Todas las mediciones provienen de una sola estación: el eje x no varía y la regresión no es estimable.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</row>
    <row r="57" customFormat="false" ht="15" hidden="false" customHeight="false" outlineLevel="0" collapsed="false">
      <c r="A57" s="88" t="s">
        <v>280</v>
      </c>
      <c r="B57" s="97" t="n">
        <f aca="false">COUNT(Datos_Individuales!$I$96:$I$111)</f>
        <v>16</v>
      </c>
      <c r="C57" s="99" t="str">
        <f aca="false">IF($B57&lt;3,"",IFERROR(SLOPE(Datos_Individuales!$I$96:$I$111,Datos_Individuales!$H$96:$H$111),""))</f>
        <v/>
      </c>
      <c r="D57" s="90" t="str">
        <f aca="false">IF($B57&lt;3,"",IFERROR(RSQ(Datos_Individuales!$I$96:$I$111,Datos_Individuales!$H$96:$H$111),""))</f>
        <v/>
      </c>
      <c r="E57" s="90" t="str">
        <f aca="false">IF($B57&lt;3,"",IFERROR(CORREL(Datos_Individuales!$I$96:$I$111,Datos_Individuales!$H$96:$H$111),""))</f>
        <v/>
      </c>
      <c r="F57" s="100" t="str">
        <f aca="false">IF($B57&lt;3,"Datos insuficientes para regresar.",IF($D57="","Todas las mediciones provienen de una sola estación: el eje x no varía y la regresión no es estimable.",IF($C57&lt;0,"Pendiente negativa: la concentración baja al aumentar la caña aguas arriba. No hay señal atribuible a la caña.",IF($D57&lt;0.1,"La carga de caña explica menos del 10% de la variabilidad observada.",IF($D57&lt;0.3,"Asociación débil: la caña explica una fracción menor de la variabilidad.",IF($D57&lt;0.5,"Asociación moderada.","Asociación relativamente fuerte para dato observacional."))))))</f>
        <v>Todas las mediciones provienen de una sola estación: el eje x no varía y la regresión no es estimable.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</row>
    <row r="60" customFormat="false" ht="18.75" hidden="false" customHeight="true" outlineLevel="0" collapsed="false">
      <c r="A60" s="95" t="s">
        <v>288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</row>
    <row r="61" customFormat="false" ht="30" hidden="false" customHeight="true" outlineLevel="0" collapsed="false">
      <c r="A61" s="96" t="s">
        <v>254</v>
      </c>
      <c r="B61" s="86" t="s">
        <v>255</v>
      </c>
      <c r="C61" s="86" t="s">
        <v>256</v>
      </c>
      <c r="D61" s="86" t="s">
        <v>257</v>
      </c>
      <c r="E61" s="86" t="s">
        <v>258</v>
      </c>
      <c r="F61" s="86" t="s">
        <v>259</v>
      </c>
      <c r="G61" s="86" t="s">
        <v>260</v>
      </c>
      <c r="H61" s="86" t="s">
        <v>261</v>
      </c>
      <c r="I61" s="86" t="s">
        <v>262</v>
      </c>
      <c r="J61" s="86" t="s">
        <v>263</v>
      </c>
      <c r="K61" s="86"/>
      <c r="L61" s="86" t="s">
        <v>264</v>
      </c>
      <c r="M61" s="86" t="s">
        <v>265</v>
      </c>
      <c r="N61" s="86" t="s">
        <v>266</v>
      </c>
      <c r="O61" s="86" t="s">
        <v>267</v>
      </c>
      <c r="P61" s="86" t="s">
        <v>268</v>
      </c>
      <c r="Q61" s="86" t="s">
        <v>269</v>
      </c>
    </row>
    <row r="62" customFormat="false" ht="25.5" hidden="false" customHeight="true" outlineLevel="0" collapsed="false">
      <c r="A62" s="100" t="s">
        <v>289</v>
      </c>
      <c r="B62" s="101" t="n">
        <v>56.268</v>
      </c>
      <c r="C62" s="98" t="n">
        <v>0.2</v>
      </c>
      <c r="D62" s="98" t="n">
        <v>0.2</v>
      </c>
      <c r="E62" s="102" t="n">
        <f aca="false">$D62*Parametros!$B$22</f>
        <v>0.6</v>
      </c>
      <c r="F62" s="102" t="n">
        <f aca="false">$D62*Parametros!$C$22</f>
        <v>0.96</v>
      </c>
      <c r="G62" s="102" t="n">
        <f aca="false">$D62*Parametros!$D$22</f>
        <v>2</v>
      </c>
      <c r="H62" s="102" t="n">
        <f aca="false">$D62*Parametros!$B$23</f>
        <v>0.02</v>
      </c>
      <c r="I62" s="102" t="n">
        <f aca="false">$D62*Parametros!$C$23</f>
        <v>0.12</v>
      </c>
      <c r="J62" s="102" t="n">
        <f aca="false">$D62*Parametros!$D$23</f>
        <v>0.3</v>
      </c>
      <c r="K62" s="89"/>
      <c r="L62" s="97" t="n">
        <f aca="false">COUNTIFS(Datos_Individuales!$C$112:$C$181,"Antes de PTAR Guachené",Datos_Individuales!$G$112:$G$181,"&lt;&gt;")</f>
        <v>9</v>
      </c>
      <c r="M62" s="90" t="n">
        <f aca="false">IF($L62=0,"",AVERAGEIFS(Datos_Individuales!$G$112:$G$181,Datos_Individuales!$C$112:$C$181,"Antes de PTAR Guachené"))</f>
        <v>0.583333333333333</v>
      </c>
      <c r="N62" s="90" t="n">
        <f aca="false">IF($L62&lt;2,"",SQRT(SUMPRODUCT((Datos_Individuales!$C$112:$C$181="Antes de PTAR Guachené")*(Datos_Individuales!$G$112:$G$181&lt;&gt;"")*(Datos_Individuales!$G$112:$G$181-$M62)^2)/($L62-1)))</f>
        <v>0.261820549231721</v>
      </c>
      <c r="O62" s="97" t="n">
        <f aca="false">COUNTIFS(Datos_Individuales!$C$112:$C$181,"Antes de PTAR Guachené",Datos_Individuales!$I$112:$I$181,"&lt;&gt;")</f>
        <v>10</v>
      </c>
      <c r="P62" s="90" t="n">
        <f aca="false">IF($O62=0,"",AVERAGEIFS(Datos_Individuales!$I$112:$I$181,Datos_Individuales!$C$112:$C$181,"Antes de PTAR Guachené"))</f>
        <v>0.286</v>
      </c>
      <c r="Q62" s="90" t="n">
        <f aca="false">IF($O62&lt;2,"",SQRT(SUMPRODUCT((Datos_Individuales!$C$112:$C$181="Antes de PTAR Guachené")*(Datos_Individuales!$I$112:$I$181&lt;&gt;"")*(Datos_Individuales!$I$112:$I$181-$P62)^2)/($O62-1)))</f>
        <v>0.272037579103411</v>
      </c>
    </row>
    <row r="63" customFormat="false" ht="25.5" hidden="false" customHeight="true" outlineLevel="0" collapsed="false">
      <c r="A63" s="100" t="s">
        <v>290</v>
      </c>
      <c r="B63" s="101" t="n">
        <v>1.614</v>
      </c>
      <c r="C63" s="98" t="n">
        <v>12.94</v>
      </c>
      <c r="D63" s="98" t="n">
        <v>13.14</v>
      </c>
      <c r="E63" s="102" t="n">
        <f aca="false">$D63*Parametros!$B$22</f>
        <v>39.42</v>
      </c>
      <c r="F63" s="102" t="n">
        <f aca="false">$D63*Parametros!$C$22</f>
        <v>63.072</v>
      </c>
      <c r="G63" s="102" t="n">
        <f aca="false">$D63*Parametros!$D$22</f>
        <v>131.4</v>
      </c>
      <c r="H63" s="102" t="n">
        <f aca="false">$D63*Parametros!$B$23</f>
        <v>1.314</v>
      </c>
      <c r="I63" s="102" t="n">
        <f aca="false">$D63*Parametros!$C$23</f>
        <v>7.884</v>
      </c>
      <c r="J63" s="102" t="n">
        <f aca="false">$D63*Parametros!$D$23</f>
        <v>19.71</v>
      </c>
      <c r="K63" s="89"/>
      <c r="L63" s="97" t="n">
        <f aca="false">COUNTIFS(Datos_Individuales!$C$112:$C$181,"Después de PTAR Guachené",Datos_Individuales!$G$112:$G$181,"&lt;&gt;")</f>
        <v>9</v>
      </c>
      <c r="M63" s="90" t="n">
        <f aca="false">IF($L63=0,"",AVERAGEIFS(Datos_Individuales!$G$112:$G$181,Datos_Individuales!$C$112:$C$181,"Después de PTAR Guachené"))</f>
        <v>0.595555555555556</v>
      </c>
      <c r="N63" s="90" t="n">
        <f aca="false">IF($L63&lt;2,"",SQRT(SUMPRODUCT((Datos_Individuales!$C$112:$C$181="Después de PTAR Guachené")*(Datos_Individuales!$G$112:$G$181&lt;&gt;"")*(Datos_Individuales!$G$112:$G$181-$M63)^2)/($L63-1)))</f>
        <v>0.268286745438119</v>
      </c>
      <c r="O63" s="97" t="n">
        <f aca="false">COUNTIFS(Datos_Individuales!$C$112:$C$181,"Después de PTAR Guachené",Datos_Individuales!$I$112:$I$181,"&lt;&gt;")</f>
        <v>10</v>
      </c>
      <c r="P63" s="90" t="n">
        <f aca="false">IF($O63=0,"",AVERAGEIFS(Datos_Individuales!$I$112:$I$181,Datos_Individuales!$C$112:$C$181,"Después de PTAR Guachené"))</f>
        <v>0.711</v>
      </c>
      <c r="Q63" s="90" t="n">
        <f aca="false">IF($O63&lt;2,"",SQRT(SUMPRODUCT((Datos_Individuales!$C$112:$C$181="Después de PTAR Guachené")*(Datos_Individuales!$I$112:$I$181&lt;&gt;"")*(Datos_Individuales!$I$112:$I$181-$P63)^2)/($O63-1)))</f>
        <v>0.950759345646065</v>
      </c>
    </row>
    <row r="64" customFormat="false" ht="25.5" hidden="false" customHeight="true" outlineLevel="0" collapsed="false">
      <c r="A64" s="100" t="s">
        <v>291</v>
      </c>
      <c r="B64" s="101" t="n">
        <v>7.313</v>
      </c>
      <c r="C64" s="98" t="n">
        <v>193.04</v>
      </c>
      <c r="D64" s="98" t="n">
        <v>206.18</v>
      </c>
      <c r="E64" s="102" t="n">
        <f aca="false">$D64*Parametros!$B$22</f>
        <v>618.54</v>
      </c>
      <c r="F64" s="102" t="n">
        <f aca="false">$D64*Parametros!$C$22</f>
        <v>989.664</v>
      </c>
      <c r="G64" s="102" t="n">
        <f aca="false">$D64*Parametros!$D$22</f>
        <v>2061.8</v>
      </c>
      <c r="H64" s="102" t="n">
        <f aca="false">$D64*Parametros!$B$23</f>
        <v>20.618</v>
      </c>
      <c r="I64" s="102" t="n">
        <f aca="false">$D64*Parametros!$C$23</f>
        <v>123.708</v>
      </c>
      <c r="J64" s="102" t="n">
        <f aca="false">$D64*Parametros!$D$23</f>
        <v>309.27</v>
      </c>
      <c r="K64" s="89"/>
      <c r="L64" s="97" t="n">
        <f aca="false">COUNTIFS(Datos_Individuales!$C$112:$C$181,"Puente del Maíz",Datos_Individuales!$G$112:$G$181,"&lt;&gt;")</f>
        <v>9</v>
      </c>
      <c r="M64" s="90" t="n">
        <f aca="false">IF($L64=0,"",AVERAGEIFS(Datos_Individuales!$G$112:$G$181,Datos_Individuales!$C$112:$C$181,"Puente del Maíz"))</f>
        <v>0.581111111111111</v>
      </c>
      <c r="N64" s="90" t="n">
        <f aca="false">IF($L64&lt;2,"",SQRT(SUMPRODUCT((Datos_Individuales!$C$112:$C$181="Puente del Maíz")*(Datos_Individuales!$G$112:$G$181&lt;&gt;"")*(Datos_Individuales!$G$112:$G$181-$M64)^2)/($L64-1)))</f>
        <v>0.221045495568471</v>
      </c>
      <c r="O64" s="97" t="n">
        <f aca="false">COUNTIFS(Datos_Individuales!$C$112:$C$181,"Puente del Maíz",Datos_Individuales!$I$112:$I$181,"&lt;&gt;")</f>
        <v>10</v>
      </c>
      <c r="P64" s="90" t="n">
        <f aca="false">IF($O64=0,"",AVERAGEIFS(Datos_Individuales!$I$112:$I$181,Datos_Individuales!$C$112:$C$181,"Puente del Maíz"))</f>
        <v>0.564</v>
      </c>
      <c r="Q64" s="90" t="n">
        <f aca="false">IF($O64&lt;2,"",SQRT(SUMPRODUCT((Datos_Individuales!$C$112:$C$181="Puente del Maíz")*(Datos_Individuales!$I$112:$I$181&lt;&gt;"")*(Datos_Individuales!$I$112:$I$181-$P64)^2)/($O64-1)))</f>
        <v>0.827569399573903</v>
      </c>
    </row>
    <row r="65" customFormat="false" ht="25.5" hidden="false" customHeight="true" outlineLevel="0" collapsed="false">
      <c r="A65" s="100" t="s">
        <v>292</v>
      </c>
      <c r="B65" s="101" t="n">
        <v>3.487</v>
      </c>
      <c r="C65" s="98" t="n">
        <v>3.21</v>
      </c>
      <c r="D65" s="98" t="n">
        <v>209.39</v>
      </c>
      <c r="E65" s="102" t="n">
        <f aca="false">$D65*Parametros!$B$22</f>
        <v>628.17</v>
      </c>
      <c r="F65" s="102" t="n">
        <f aca="false">$D65*Parametros!$C$22</f>
        <v>1005.072</v>
      </c>
      <c r="G65" s="102" t="n">
        <f aca="false">$D65*Parametros!$D$22</f>
        <v>2093.9</v>
      </c>
      <c r="H65" s="102" t="n">
        <f aca="false">$D65*Parametros!$B$23</f>
        <v>20.939</v>
      </c>
      <c r="I65" s="102" t="n">
        <f aca="false">$D65*Parametros!$C$23</f>
        <v>125.634</v>
      </c>
      <c r="J65" s="102" t="n">
        <f aca="false">$D65*Parametros!$D$23</f>
        <v>314.085</v>
      </c>
      <c r="K65" s="89"/>
      <c r="L65" s="97" t="n">
        <f aca="false">COUNTIFS(Datos_Individuales!$C$112:$C$181,"Antes Bocatoma Propal",Datos_Individuales!$G$112:$G$181,"&lt;&gt;")</f>
        <v>0</v>
      </c>
      <c r="M65" s="90" t="str">
        <f aca="false">IF($L65=0,"",AVERAGEIFS(Datos_Individuales!$G$112:$G$181,Datos_Individuales!$C$112:$C$181,"Antes Bocatoma Propal"))</f>
        <v/>
      </c>
      <c r="N65" s="90" t="str">
        <f aca="false">IF($L65&lt;2,"",SQRT(SUMPRODUCT((Datos_Individuales!$C$112:$C$181="Antes Bocatoma Propal")*(Datos_Individuales!$G$112:$G$181&lt;&gt;"")*(Datos_Individuales!$G$112:$G$181-$M65)^2)/($L65-1)))</f>
        <v/>
      </c>
      <c r="O65" s="97" t="n">
        <f aca="false">COUNTIFS(Datos_Individuales!$C$112:$C$181,"Antes Bocatoma Propal",Datos_Individuales!$I$112:$I$181,"&lt;&gt;")</f>
        <v>0</v>
      </c>
      <c r="P65" s="90" t="str">
        <f aca="false">IF($O65=0,"",AVERAGEIFS(Datos_Individuales!$I$112:$I$181,Datos_Individuales!$C$112:$C$181,"Antes Bocatoma Propal"))</f>
        <v/>
      </c>
      <c r="Q65" s="90" t="str">
        <f aca="false">IF($O65&lt;2,"",SQRT(SUMPRODUCT((Datos_Individuales!$C$112:$C$181="Antes Bocatoma Propal")*(Datos_Individuales!$I$112:$I$181&lt;&gt;"")*(Datos_Individuales!$I$112:$I$181-$P65)^2)/($O65-1)))</f>
        <v/>
      </c>
    </row>
    <row r="66" customFormat="false" ht="25.5" hidden="false" customHeight="true" outlineLevel="0" collapsed="false">
      <c r="A66" s="100" t="s">
        <v>293</v>
      </c>
      <c r="B66" s="101" t="n">
        <v>2.793</v>
      </c>
      <c r="C66" s="98" t="n">
        <v>0</v>
      </c>
      <c r="D66" s="98" t="n">
        <v>209.39</v>
      </c>
      <c r="E66" s="102" t="n">
        <f aca="false">$D66*Parametros!$B$22</f>
        <v>628.17</v>
      </c>
      <c r="F66" s="102" t="n">
        <f aca="false">$D66*Parametros!$C$22</f>
        <v>1005.072</v>
      </c>
      <c r="G66" s="102" t="n">
        <f aca="false">$D66*Parametros!$D$22</f>
        <v>2093.9</v>
      </c>
      <c r="H66" s="102" t="n">
        <f aca="false">$D66*Parametros!$B$23</f>
        <v>20.939</v>
      </c>
      <c r="I66" s="102" t="n">
        <f aca="false">$D66*Parametros!$C$23</f>
        <v>125.634</v>
      </c>
      <c r="J66" s="102" t="n">
        <f aca="false">$D66*Parametros!$D$23</f>
        <v>314.085</v>
      </c>
      <c r="K66" s="89"/>
      <c r="L66" s="97" t="n">
        <f aca="false">COUNTIFS(Datos_Individuales!$C$112:$C$181,"Puente PICC",Datos_Individuales!$G$112:$G$181,"&lt;&gt;")</f>
        <v>9</v>
      </c>
      <c r="M66" s="90" t="n">
        <f aca="false">IF($L66=0,"",AVERAGEIFS(Datos_Individuales!$G$112:$G$181,Datos_Individuales!$C$112:$C$181,"Puente PICC"))</f>
        <v>0.852222222222222</v>
      </c>
      <c r="N66" s="90" t="n">
        <f aca="false">IF($L66&lt;2,"",SQRT(SUMPRODUCT((Datos_Individuales!$C$112:$C$181="Puente PICC")*(Datos_Individuales!$G$112:$G$181&lt;&gt;"")*(Datos_Individuales!$G$112:$G$181-$M66)^2)/($L66-1)))</f>
        <v>0.422722656649066</v>
      </c>
      <c r="O66" s="97" t="n">
        <f aca="false">COUNTIFS(Datos_Individuales!$C$112:$C$181,"Puente PICC",Datos_Individuales!$I$112:$I$181,"&lt;&gt;")</f>
        <v>10</v>
      </c>
      <c r="P66" s="90" t="n">
        <f aca="false">IF($O66=0,"",AVERAGEIFS(Datos_Individuales!$I$112:$I$181,Datos_Individuales!$C$112:$C$181,"Puente PICC"))</f>
        <v>0.921</v>
      </c>
      <c r="Q66" s="90" t="n">
        <f aca="false">IF($O66&lt;2,"",SQRT(SUMPRODUCT((Datos_Individuales!$C$112:$C$181="Puente PICC")*(Datos_Individuales!$I$112:$I$181&lt;&gt;"")*(Datos_Individuales!$I$112:$I$181-$P66)^2)/($O66-1)))</f>
        <v>1.05102542521313</v>
      </c>
    </row>
    <row r="67" customFormat="false" ht="25.5" hidden="false" customHeight="true" outlineLevel="0" collapsed="false">
      <c r="A67" s="100" t="s">
        <v>294</v>
      </c>
      <c r="B67" s="101" t="n">
        <v>1.8</v>
      </c>
      <c r="C67" s="98" t="n">
        <v>45.86</v>
      </c>
      <c r="D67" s="98" t="n">
        <v>255.25</v>
      </c>
      <c r="E67" s="102" t="n">
        <f aca="false">$D67*Parametros!$B$22</f>
        <v>765.75</v>
      </c>
      <c r="F67" s="102" t="n">
        <f aca="false">$D67*Parametros!$C$22</f>
        <v>1225.2</v>
      </c>
      <c r="G67" s="102" t="n">
        <f aca="false">$D67*Parametros!$D$22</f>
        <v>2552.5</v>
      </c>
      <c r="H67" s="102" t="n">
        <f aca="false">$D67*Parametros!$B$23</f>
        <v>25.525</v>
      </c>
      <c r="I67" s="102" t="n">
        <f aca="false">$D67*Parametros!$C$23</f>
        <v>153.15</v>
      </c>
      <c r="J67" s="102" t="n">
        <f aca="false">$D67*Parametros!$D$23</f>
        <v>382.875</v>
      </c>
      <c r="K67" s="89"/>
      <c r="L67" s="97" t="n">
        <f aca="false">COUNTIFS(Datos_Individuales!$C$112:$C$181,"Puente Perico Negro",Datos_Individuales!$G$112:$G$181,"&lt;&gt;")</f>
        <v>9</v>
      </c>
      <c r="M67" s="90" t="n">
        <f aca="false">IF($L67=0,"",AVERAGEIFS(Datos_Individuales!$G$112:$G$181,Datos_Individuales!$C$112:$C$181,"Puente Perico Negro"))</f>
        <v>0.983333333333333</v>
      </c>
      <c r="N67" s="90" t="n">
        <f aca="false">IF($L67&lt;2,"",SQRT(SUMPRODUCT((Datos_Individuales!$C$112:$C$181="Puente Perico Negro")*(Datos_Individuales!$G$112:$G$181&lt;&gt;"")*(Datos_Individuales!$G$112:$G$181-$M67)^2)/($L67-1)))</f>
        <v>0.463519147393072</v>
      </c>
      <c r="O67" s="97" t="n">
        <f aca="false">COUNTIFS(Datos_Individuales!$C$112:$C$181,"Puente Perico Negro",Datos_Individuales!$I$112:$I$181,"&lt;&gt;")</f>
        <v>10</v>
      </c>
      <c r="P67" s="90" t="n">
        <f aca="false">IF($O67=0,"",AVERAGEIFS(Datos_Individuales!$I$112:$I$181,Datos_Individuales!$C$112:$C$181,"Puente Perico Negro"))</f>
        <v>0.798</v>
      </c>
      <c r="Q67" s="90" t="n">
        <f aca="false">IF($O67&lt;2,"",SQRT(SUMPRODUCT((Datos_Individuales!$C$112:$C$181="Puente Perico Negro")*(Datos_Individuales!$I$112:$I$181&lt;&gt;"")*(Datos_Individuales!$I$112:$I$181-$P67)^2)/($O67-1)))</f>
        <v>0.759265727163056</v>
      </c>
    </row>
    <row r="68" customFormat="false" ht="25.5" hidden="false" customHeight="true" outlineLevel="0" collapsed="false">
      <c r="A68" s="100" t="s">
        <v>295</v>
      </c>
      <c r="B68" s="101" t="n">
        <v>2.131</v>
      </c>
      <c r="C68" s="98" t="n">
        <v>73.73</v>
      </c>
      <c r="D68" s="98" t="n">
        <v>328.98</v>
      </c>
      <c r="E68" s="102" t="n">
        <f aca="false">$D68*Parametros!$B$22</f>
        <v>986.94</v>
      </c>
      <c r="F68" s="102" t="n">
        <f aca="false">$D68*Parametros!$C$22</f>
        <v>1579.104</v>
      </c>
      <c r="G68" s="102" t="n">
        <f aca="false">$D68*Parametros!$D$22</f>
        <v>3289.8</v>
      </c>
      <c r="H68" s="102" t="n">
        <f aca="false">$D68*Parametros!$B$23</f>
        <v>32.898</v>
      </c>
      <c r="I68" s="102" t="n">
        <f aca="false">$D68*Parametros!$C$23</f>
        <v>197.388</v>
      </c>
      <c r="J68" s="102" t="n">
        <f aca="false">$D68*Parametros!$D$23</f>
        <v>493.47</v>
      </c>
      <c r="K68" s="89"/>
      <c r="L68" s="97" t="n">
        <f aca="false">COUNTIFS(Datos_Individuales!$C$112:$C$181,"Puente Puerto Tejada",Datos_Individuales!$G$112:$G$181,"&lt;&gt;")</f>
        <v>9</v>
      </c>
      <c r="M68" s="90" t="n">
        <f aca="false">IF($L68=0,"",AVERAGEIFS(Datos_Individuales!$G$112:$G$181,Datos_Individuales!$C$112:$C$181,"Puente Puerto Tejada"))</f>
        <v>0.906666666666667</v>
      </c>
      <c r="N68" s="90" t="n">
        <f aca="false">IF($L68&lt;2,"",SQRT(SUMPRODUCT((Datos_Individuales!$C$112:$C$181="Puente Puerto Tejada")*(Datos_Individuales!$G$112:$G$181&lt;&gt;"")*(Datos_Individuales!$G$112:$G$181-$M68)^2)/($L68-1)))</f>
        <v>0.416893271713517</v>
      </c>
      <c r="O68" s="97" t="n">
        <f aca="false">COUNTIFS(Datos_Individuales!$C$112:$C$181,"Puente Puerto Tejada",Datos_Individuales!$I$112:$I$181,"&lt;&gt;")</f>
        <v>10</v>
      </c>
      <c r="P68" s="90" t="n">
        <f aca="false">IF($O68=0,"",AVERAGEIFS(Datos_Individuales!$I$112:$I$181,Datos_Individuales!$C$112:$C$181,"Puente Puerto Tejada"))</f>
        <v>0.561</v>
      </c>
      <c r="Q68" s="90" t="n">
        <f aca="false">IF($O68&lt;2,"",SQRT(SUMPRODUCT((Datos_Individuales!$C$112:$C$181="Puente Puerto Tejada")*(Datos_Individuales!$I$112:$I$181&lt;&gt;"")*(Datos_Individuales!$I$112:$I$181-$P68)^2)/($O68-1)))</f>
        <v>0.670827846768454</v>
      </c>
    </row>
    <row r="69" customFormat="false" ht="25.5" hidden="false" customHeight="true" outlineLevel="0" collapsed="false">
      <c r="A69" s="100" t="s">
        <v>296</v>
      </c>
      <c r="B69" s="101" t="n">
        <v>7.697</v>
      </c>
      <c r="C69" s="98" t="n">
        <v>182.15</v>
      </c>
      <c r="D69" s="98" t="n">
        <v>511.13</v>
      </c>
      <c r="E69" s="102" t="n">
        <f aca="false">$D69*Parametros!$B$22</f>
        <v>1533.39</v>
      </c>
      <c r="F69" s="102" t="n">
        <f aca="false">$D69*Parametros!$C$22</f>
        <v>2453.424</v>
      </c>
      <c r="G69" s="102" t="n">
        <f aca="false">$D69*Parametros!$D$22</f>
        <v>5111.3</v>
      </c>
      <c r="H69" s="102" t="n">
        <f aca="false">$D69*Parametros!$B$23</f>
        <v>51.113</v>
      </c>
      <c r="I69" s="102" t="n">
        <f aca="false">$D69*Parametros!$C$23</f>
        <v>306.678</v>
      </c>
      <c r="J69" s="102" t="n">
        <f aca="false">$D69*Parametros!$D$23</f>
        <v>766.695</v>
      </c>
      <c r="K69" s="89"/>
      <c r="L69" s="97" t="n">
        <f aca="false">COUNTIFS(Datos_Individuales!$C$112:$C$181,"Desembocadura a río Cauca",Datos_Individuales!$G$112:$G$181,"&lt;&gt;")</f>
        <v>9</v>
      </c>
      <c r="M69" s="90" t="n">
        <f aca="false">IF($L69=0,"",AVERAGEIFS(Datos_Individuales!$G$112:$G$181,Datos_Individuales!$C$112:$C$181,"Desembocadura a río Cauca"))</f>
        <v>0.897777777777778</v>
      </c>
      <c r="N69" s="90" t="n">
        <f aca="false">IF($L69&lt;2,"",SQRT(SUMPRODUCT((Datos_Individuales!$C$112:$C$181="Desembocadura a río Cauca")*(Datos_Individuales!$G$112:$G$181&lt;&gt;"")*(Datos_Individuales!$G$112:$G$181-$M69)^2)/($L69-1)))</f>
        <v>0.399680427897645</v>
      </c>
      <c r="O69" s="97" t="n">
        <f aca="false">COUNTIFS(Datos_Individuales!$C$112:$C$181,"Desembocadura a río Cauca",Datos_Individuales!$I$112:$I$181,"&lt;&gt;")</f>
        <v>10</v>
      </c>
      <c r="P69" s="90" t="n">
        <f aca="false">IF($O69=0,"",AVERAGEIFS(Datos_Individuales!$I$112:$I$181,Datos_Individuales!$C$112:$C$181,"Desembocadura a río Cauca"))</f>
        <v>0.99</v>
      </c>
      <c r="Q69" s="90" t="n">
        <f aca="false">IF($O69&lt;2,"",SQRT(SUMPRODUCT((Datos_Individuales!$C$112:$C$181="Desembocadura a río Cauca")*(Datos_Individuales!$I$112:$I$181&lt;&gt;"")*(Datos_Individuales!$I$112:$I$181-$P69)^2)/($O69-1)))</f>
        <v>1.07321945565667</v>
      </c>
    </row>
    <row r="70" customFormat="false" ht="15" hidden="false" customHeight="true" outlineLevel="0" collapsed="false">
      <c r="A70" s="103" t="s">
        <v>273</v>
      </c>
      <c r="B70" s="104" t="n">
        <f aca="false">SUM(B62:B69)</f>
        <v>83.103</v>
      </c>
      <c r="C70" s="105" t="n">
        <f aca="false">SUM(C62:C69)</f>
        <v>511.13</v>
      </c>
      <c r="D70" s="105" t="n">
        <f aca="false">D69</f>
        <v>511.13</v>
      </c>
      <c r="E70" s="106" t="n">
        <f aca="false">E69</f>
        <v>1533.39</v>
      </c>
      <c r="F70" s="106" t="n">
        <f aca="false">F69</f>
        <v>2453.424</v>
      </c>
      <c r="G70" s="106" t="n">
        <f aca="false">G69</f>
        <v>5111.3</v>
      </c>
      <c r="H70" s="106" t="n">
        <f aca="false">H69</f>
        <v>51.113</v>
      </c>
      <c r="I70" s="106" t="n">
        <f aca="false">I69</f>
        <v>306.678</v>
      </c>
      <c r="J70" s="106" t="n">
        <f aca="false">J69</f>
        <v>766.695</v>
      </c>
      <c r="K70" s="107"/>
      <c r="L70" s="108"/>
      <c r="M70" s="109"/>
      <c r="N70" s="109"/>
      <c r="O70" s="108"/>
      <c r="P70" s="109"/>
      <c r="Q70" s="109"/>
    </row>
    <row r="71" customFormat="false" ht="13.5" hidden="false" customHeight="true" outlineLevel="0" collapsed="false">
      <c r="A71" s="110" t="s">
        <v>274</v>
      </c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</row>
    <row r="72" customFormat="false" ht="25.5" hidden="false" customHeight="true" outlineLevel="0" collapsed="false">
      <c r="A72" s="111" t="s">
        <v>35</v>
      </c>
      <c r="B72" s="112" t="s">
        <v>275</v>
      </c>
      <c r="C72" s="112" t="s">
        <v>276</v>
      </c>
      <c r="D72" s="112" t="s">
        <v>277</v>
      </c>
      <c r="E72" s="112" t="s">
        <v>278</v>
      </c>
      <c r="F72" s="111" t="s">
        <v>102</v>
      </c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</row>
    <row r="73" customFormat="false" ht="15" hidden="false" customHeight="false" outlineLevel="0" collapsed="false">
      <c r="A73" s="88" t="s">
        <v>279</v>
      </c>
      <c r="B73" s="97" t="n">
        <f aca="false">COUNT(Datos_Individuales!$G$112:$G$181)</f>
        <v>63</v>
      </c>
      <c r="C73" s="99" t="n">
        <f aca="false">IF($B73&lt;3,"",IFERROR(SLOPE(Datos_Individuales!$G$112:$G$181,Datos_Individuales!$F$112:$F$181),""))</f>
        <v>0.00015245638339298</v>
      </c>
      <c r="D73" s="90" t="n">
        <f aca="false">IF($B73&lt;3,"",IFERROR(RSQ(Datos_Individuales!$G$112:$G$181,Datos_Individuales!$F$112:$F$181),""))</f>
        <v>0.101055820725915</v>
      </c>
      <c r="E73" s="90" t="n">
        <f aca="false">IF($B73&lt;3,"",IFERROR(CORREL(Datos_Individuales!$G$112:$G$181,Datos_Individuales!$F$112:$F$181),""))</f>
        <v>0.31789278180845</v>
      </c>
      <c r="F73" s="100" t="str">
        <f aca="false">IF($B73&lt;3,"Datos insuficientes para regresar.",IF($D73="","Todas las mediciones provienen de una sola estación: el eje x no varía y la regresión no es estimable.",IF($C73&lt;0,"Pendiente negativa: la concentración baja al aumentar la caña aguas arriba. No hay señal atribuible a la caña.",IF($D73&lt;0.1,"La carga de caña explica menos del 10% de la variabilidad observada.",IF($D73&lt;0.3,"Asociación débil: la caña explica una fracción menor de la variabilidad.",IF($D73&lt;0.5,"Asociación moderada.","Asociación relativamente fuerte para dato observacional."))))))</f>
        <v>Asociación débil: la caña explica una fracción menor de la variabilidad.</v>
      </c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</row>
    <row r="74" customFormat="false" ht="15" hidden="false" customHeight="false" outlineLevel="0" collapsed="false">
      <c r="A74" s="88" t="s">
        <v>280</v>
      </c>
      <c r="B74" s="97" t="n">
        <f aca="false">COUNT(Datos_Individuales!$I$112:$I$181)</f>
        <v>70</v>
      </c>
      <c r="C74" s="99" t="n">
        <f aca="false">IF($B74&lt;3,"",IFERROR(SLOPE(Datos_Individuales!$I$112:$I$181,Datos_Individuales!$H$112:$H$181),""))</f>
        <v>0.00141644878806618</v>
      </c>
      <c r="D74" s="90" t="n">
        <f aca="false">IF($B74&lt;3,"",IFERROR(RSQ(Datos_Individuales!$I$112:$I$181,Datos_Individuales!$H$112:$H$181),""))</f>
        <v>0.028462713166861</v>
      </c>
      <c r="E74" s="90" t="n">
        <f aca="false">IF($B74&lt;3,"",IFERROR(CORREL(Datos_Individuales!$I$112:$I$181,Datos_Individuales!$H$112:$H$181),""))</f>
        <v>0.168708959948371</v>
      </c>
      <c r="F74" s="100" t="str">
        <f aca="false">IF($B74&lt;3,"Datos insuficientes para regresar.",IF($D74="","Todas las mediciones provienen de una sola estación: el eje x no varía y la regresión no es estimable.",IF($C74&lt;0,"Pendiente negativa: la concentración baja al aumentar la caña aguas arriba. No hay señal atribuible a la caña.",IF($D74&lt;0.1,"La carga de caña explica menos del 10% de la variabilidad observada.",IF($D74&lt;0.3,"Asociación débil: la caña explica una fracción menor de la variabilidad.",IF($D74&lt;0.5,"Asociación moderada.","Asociación relativamente fuerte para dato observacional."))))))</f>
        <v>La carga de caña explica menos del 10% de la variabilidad observada.</v>
      </c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</row>
    <row r="77" customFormat="false" ht="18.75" hidden="false" customHeight="true" outlineLevel="0" collapsed="false">
      <c r="A77" s="95" t="s">
        <v>297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</row>
    <row r="78" customFormat="false" ht="30" hidden="false" customHeight="true" outlineLevel="0" collapsed="false">
      <c r="A78" s="96" t="s">
        <v>254</v>
      </c>
      <c r="B78" s="86" t="s">
        <v>255</v>
      </c>
      <c r="C78" s="86" t="s">
        <v>256</v>
      </c>
      <c r="D78" s="86" t="s">
        <v>257</v>
      </c>
      <c r="E78" s="86" t="s">
        <v>258</v>
      </c>
      <c r="F78" s="86" t="s">
        <v>259</v>
      </c>
      <c r="G78" s="86" t="s">
        <v>260</v>
      </c>
      <c r="H78" s="86" t="s">
        <v>261</v>
      </c>
      <c r="I78" s="86" t="s">
        <v>262</v>
      </c>
      <c r="J78" s="86" t="s">
        <v>263</v>
      </c>
      <c r="K78" s="86"/>
      <c r="L78" s="86" t="s">
        <v>264</v>
      </c>
      <c r="M78" s="86" t="s">
        <v>265</v>
      </c>
      <c r="N78" s="86" t="s">
        <v>266</v>
      </c>
      <c r="O78" s="86" t="s">
        <v>267</v>
      </c>
      <c r="P78" s="86" t="s">
        <v>268</v>
      </c>
      <c r="Q78" s="86" t="s">
        <v>269</v>
      </c>
    </row>
    <row r="79" customFormat="false" ht="25.5" hidden="false" customHeight="true" outlineLevel="0" collapsed="false">
      <c r="A79" s="100" t="s">
        <v>298</v>
      </c>
      <c r="B79" s="101" t="n">
        <v>40.93</v>
      </c>
      <c r="C79" s="98" t="n">
        <v>450.63</v>
      </c>
      <c r="D79" s="98" t="n">
        <v>450.63</v>
      </c>
      <c r="E79" s="102" t="n">
        <f aca="false">$D79*Parametros!$B$22</f>
        <v>1351.89</v>
      </c>
      <c r="F79" s="102" t="n">
        <f aca="false">$D79*Parametros!$C$22</f>
        <v>2163.024</v>
      </c>
      <c r="G79" s="102" t="n">
        <f aca="false">$D79*Parametros!$D$22</f>
        <v>4506.3</v>
      </c>
      <c r="H79" s="102" t="n">
        <f aca="false">$D79*Parametros!$B$23</f>
        <v>45.063</v>
      </c>
      <c r="I79" s="102" t="n">
        <f aca="false">$D79*Parametros!$C$23</f>
        <v>270.378</v>
      </c>
      <c r="J79" s="102" t="n">
        <f aca="false">$D79*Parametros!$D$23</f>
        <v>675.945</v>
      </c>
      <c r="K79" s="89"/>
      <c r="L79" s="97" t="n">
        <f aca="false">COUNTIFS(Datos_Individuales!$C$182:$C$203,"Antes de porcícola (Pte. Jordán)",Datos_Individuales!$G$182:$G$203,"&lt;&gt;")</f>
        <v>9</v>
      </c>
      <c r="M79" s="90" t="n">
        <f aca="false">IF($L79=0,"",AVERAGEIFS(Datos_Individuales!$G$182:$G$203,Datos_Individuales!$C$182:$C$203,"Antes de porcícola (Pte. Jordán)"))</f>
        <v>0.523333333333333</v>
      </c>
      <c r="N79" s="90" t="n">
        <f aca="false">IF($L79&lt;2,"",SQRT(SUMPRODUCT((Datos_Individuales!$C$182:$C$203="Antes de porcícola (Pte. Jordán)")*(Datos_Individuales!$G$182:$G$203&lt;&gt;"")*(Datos_Individuales!$G$182:$G$203-$M79)^2)/($L79-1)))</f>
        <v>0.066332495807108</v>
      </c>
      <c r="O79" s="97" t="n">
        <f aca="false">COUNTIFS(Datos_Individuales!$C$182:$C$203,"Antes de porcícola (Pte. Jordán)",Datos_Individuales!$I$182:$I$203,"&lt;&gt;")</f>
        <v>11</v>
      </c>
      <c r="P79" s="90" t="n">
        <f aca="false">IF($O79=0,"",AVERAGEIFS(Datos_Individuales!$I$182:$I$203,Datos_Individuales!$C$182:$C$203,"Antes de porcícola (Pte. Jordán)"))</f>
        <v>0.193636363636364</v>
      </c>
      <c r="Q79" s="90" t="n">
        <f aca="false">IF($O79&lt;2,"",SQRT(SUMPRODUCT((Datos_Individuales!$C$182:$C$203="Antes de porcícola (Pte. Jordán)")*(Datos_Individuales!$I$182:$I$203&lt;&gt;"")*(Datos_Individuales!$I$182:$I$203-$P79)^2)/($O79-1)))</f>
        <v>0.119354323530631</v>
      </c>
    </row>
    <row r="80" customFormat="false" ht="25.5" hidden="false" customHeight="true" outlineLevel="0" collapsed="false">
      <c r="A80" s="100" t="s">
        <v>299</v>
      </c>
      <c r="B80" s="101" t="n">
        <v>24.449</v>
      </c>
      <c r="C80" s="98" t="n">
        <v>1163.02</v>
      </c>
      <c r="D80" s="98" t="n">
        <v>1613.65</v>
      </c>
      <c r="E80" s="102" t="n">
        <f aca="false">$D80*Parametros!$B$22</f>
        <v>4840.95</v>
      </c>
      <c r="F80" s="102" t="n">
        <f aca="false">$D80*Parametros!$C$22</f>
        <v>7745.52</v>
      </c>
      <c r="G80" s="102" t="n">
        <f aca="false">$D80*Parametros!$D$22</f>
        <v>16136.5</v>
      </c>
      <c r="H80" s="102" t="n">
        <f aca="false">$D80*Parametros!$B$23</f>
        <v>161.365</v>
      </c>
      <c r="I80" s="102" t="n">
        <f aca="false">$D80*Parametros!$C$23</f>
        <v>968.19</v>
      </c>
      <c r="J80" s="102" t="n">
        <f aca="false">$D80*Parametros!$D$23</f>
        <v>2420.475</v>
      </c>
      <c r="K80" s="89"/>
      <c r="L80" s="97" t="n">
        <f aca="false">COUNTIFS(Datos_Individuales!$C$182:$C$203,"Puente Ortigal",Datos_Individuales!$G$182:$G$203,"&lt;&gt;")</f>
        <v>9</v>
      </c>
      <c r="M80" s="90" t="n">
        <f aca="false">IF($L80=0,"",AVERAGEIFS(Datos_Individuales!$G$182:$G$203,Datos_Individuales!$C$182:$C$203,"Puente Ortigal"))</f>
        <v>0.707777777777778</v>
      </c>
      <c r="N80" s="90" t="n">
        <f aca="false">IF($L80&lt;2,"",SQRT(SUMPRODUCT((Datos_Individuales!$C$182:$C$203="Puente Ortigal")*(Datos_Individuales!$G$182:$G$203&lt;&gt;"")*(Datos_Individuales!$G$182:$G$203-$M80)^2)/($L80-1)))</f>
        <v>0.444965666590631</v>
      </c>
      <c r="O80" s="97" t="n">
        <f aca="false">COUNTIFS(Datos_Individuales!$C$182:$C$203,"Puente Ortigal",Datos_Individuales!$I$182:$I$203,"&lt;&gt;")</f>
        <v>11</v>
      </c>
      <c r="P80" s="90" t="n">
        <f aca="false">IF($O80=0,"",AVERAGEIFS(Datos_Individuales!$I$182:$I$203,Datos_Individuales!$C$182:$C$203,"Puente Ortigal"))</f>
        <v>0.332727272727273</v>
      </c>
      <c r="Q80" s="90" t="n">
        <f aca="false">IF($O80&lt;2,"",SQRT(SUMPRODUCT((Datos_Individuales!$C$182:$C$203="Puente Ortigal")*(Datos_Individuales!$I$182:$I$203&lt;&gt;"")*(Datos_Individuales!$I$182:$I$203-$P80)^2)/($O80-1)))</f>
        <v>0.492830415236132</v>
      </c>
    </row>
    <row r="81" customFormat="false" ht="15" hidden="false" customHeight="true" outlineLevel="0" collapsed="false">
      <c r="A81" s="103" t="s">
        <v>273</v>
      </c>
      <c r="B81" s="104" t="n">
        <f aca="false">SUM(B79:B80)</f>
        <v>65.379</v>
      </c>
      <c r="C81" s="105" t="n">
        <f aca="false">SUM(C79:C80)</f>
        <v>1613.65</v>
      </c>
      <c r="D81" s="105" t="n">
        <f aca="false">D80</f>
        <v>1613.65</v>
      </c>
      <c r="E81" s="106" t="n">
        <f aca="false">E80</f>
        <v>4840.95</v>
      </c>
      <c r="F81" s="106" t="n">
        <f aca="false">F80</f>
        <v>7745.52</v>
      </c>
      <c r="G81" s="106" t="n">
        <f aca="false">G80</f>
        <v>16136.5</v>
      </c>
      <c r="H81" s="106" t="n">
        <f aca="false">H80</f>
        <v>161.365</v>
      </c>
      <c r="I81" s="106" t="n">
        <f aca="false">I80</f>
        <v>968.19</v>
      </c>
      <c r="J81" s="106" t="n">
        <f aca="false">J80</f>
        <v>2420.475</v>
      </c>
      <c r="K81" s="107"/>
      <c r="L81" s="108"/>
      <c r="M81" s="109"/>
      <c r="N81" s="109"/>
      <c r="O81" s="108"/>
      <c r="P81" s="109"/>
      <c r="Q81" s="109"/>
    </row>
    <row r="82" customFormat="false" ht="13.5" hidden="false" customHeight="true" outlineLevel="0" collapsed="false">
      <c r="A82" s="110" t="s">
        <v>274</v>
      </c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customFormat="false" ht="25.5" hidden="false" customHeight="true" outlineLevel="0" collapsed="false">
      <c r="A83" s="111" t="s">
        <v>35</v>
      </c>
      <c r="B83" s="112" t="s">
        <v>275</v>
      </c>
      <c r="C83" s="112" t="s">
        <v>276</v>
      </c>
      <c r="D83" s="112" t="s">
        <v>277</v>
      </c>
      <c r="E83" s="112" t="s">
        <v>278</v>
      </c>
      <c r="F83" s="111" t="s">
        <v>102</v>
      </c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</row>
    <row r="84" customFormat="false" ht="15" hidden="false" customHeight="false" outlineLevel="0" collapsed="false">
      <c r="A84" s="88" t="s">
        <v>279</v>
      </c>
      <c r="B84" s="97" t="n">
        <f aca="false">COUNT(Datos_Individuales!$G$182:$G$203)</f>
        <v>18</v>
      </c>
      <c r="C84" s="99" t="n">
        <f aca="false">IF($B84&lt;3,"",IFERROR(SLOPE(Datos_Individuales!$G$182:$G$203,Datos_Individuales!$F$182:$F$203),""))</f>
        <v>3.30397808515124E-005</v>
      </c>
      <c r="D84" s="90" t="n">
        <f aca="false">IF($B84&lt;3,"",IFERROR(RSQ(Datos_Individuales!$G$182:$G$203,Datos_Individuales!$F$182:$F$203),""))</f>
        <v>0.0863813619891914</v>
      </c>
      <c r="E84" s="90" t="n">
        <f aca="false">IF($B84&lt;3,"",IFERROR(CORREL(Datos_Individuales!$G$182:$G$203,Datos_Individuales!$F$182:$F$203),""))</f>
        <v>0.293907063523814</v>
      </c>
      <c r="F84" s="100" t="str">
        <f aca="false">IF($B84&lt;3,"Datos insuficientes para regresar.",IF($D84="","Todas las mediciones provienen de una sola estación: el eje x no varía y la regresión no es estimable.",IF($C84&lt;0,"Pendiente negativa: la concentración baja al aumentar la caña aguas arriba. No hay señal atribuible a la caña.",IF($D84&lt;0.1,"La carga de caña explica menos del 10% de la variabilidad observada.",IF($D84&lt;0.3,"Asociación débil: la caña explica una fracción menor de la variabilidad.",IF($D84&lt;0.5,"Asociación moderada.","Asociación relativamente fuerte para dato observacional."))))))</f>
        <v>La carga de caña explica menos del 10% de la variabilidad observada.</v>
      </c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</row>
    <row r="85" customFormat="false" ht="15" hidden="false" customHeight="false" outlineLevel="0" collapsed="false">
      <c r="A85" s="88" t="s">
        <v>280</v>
      </c>
      <c r="B85" s="97" t="n">
        <f aca="false">COUNT(Datos_Individuales!$I$182:$I$203)</f>
        <v>22</v>
      </c>
      <c r="C85" s="99" t="n">
        <f aca="false">IF($B85&lt;3,"",IFERROR(SLOPE(Datos_Individuales!$I$182:$I$203,Datos_Individuales!$H$182:$H$203),""))</f>
        <v>0.000199324329605838</v>
      </c>
      <c r="D85" s="90" t="n">
        <f aca="false">IF($B85&lt;3,"",IFERROR(RSQ(Datos_Individuales!$I$182:$I$203,Datos_Individuales!$H$182:$H$203),""))</f>
        <v>0.0397376287793525</v>
      </c>
      <c r="E85" s="90" t="n">
        <f aca="false">IF($B85&lt;3,"",IFERROR(CORREL(Datos_Individuales!$I$182:$I$203,Datos_Individuales!$H$182:$H$203),""))</f>
        <v>0.199342992802237</v>
      </c>
      <c r="F85" s="100" t="str">
        <f aca="false">IF($B85&lt;3,"Datos insuficientes para regresar.",IF($D85="","Todas las mediciones provienen de una sola estación: el eje x no varía y la regresión no es estimable.",IF($C85&lt;0,"Pendiente negativa: la concentración baja al aumentar la caña aguas arriba. No hay señal atribuible a la caña.",IF($D85&lt;0.1,"La carga de caña explica menos del 10% de la variabilidad observada.",IF($D85&lt;0.3,"Asociación débil: la caña explica una fracción menor de la variabilidad.",IF($D85&lt;0.5,"Asociación moderada.","Asociación relativamente fuerte para dato observacional."))))))</f>
        <v>La carga de caña explica menos del 10% de la variabilidad observada.</v>
      </c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</row>
    <row r="88" customFormat="false" ht="18.75" hidden="false" customHeight="true" outlineLevel="0" collapsed="false">
      <c r="A88" s="95" t="s">
        <v>300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</row>
    <row r="89" customFormat="false" ht="30" hidden="false" customHeight="true" outlineLevel="0" collapsed="false">
      <c r="A89" s="96" t="s">
        <v>254</v>
      </c>
      <c r="B89" s="86" t="s">
        <v>255</v>
      </c>
      <c r="C89" s="86" t="s">
        <v>256</v>
      </c>
      <c r="D89" s="86" t="s">
        <v>257</v>
      </c>
      <c r="E89" s="86" t="s">
        <v>258</v>
      </c>
      <c r="F89" s="86" t="s">
        <v>259</v>
      </c>
      <c r="G89" s="86" t="s">
        <v>260</v>
      </c>
      <c r="H89" s="86" t="s">
        <v>261</v>
      </c>
      <c r="I89" s="86" t="s">
        <v>262</v>
      </c>
      <c r="J89" s="86" t="s">
        <v>263</v>
      </c>
      <c r="K89" s="86"/>
      <c r="L89" s="86" t="s">
        <v>264</v>
      </c>
      <c r="M89" s="86" t="s">
        <v>265</v>
      </c>
      <c r="N89" s="86" t="s">
        <v>266</v>
      </c>
      <c r="O89" s="86" t="s">
        <v>267</v>
      </c>
      <c r="P89" s="86" t="s">
        <v>268</v>
      </c>
      <c r="Q89" s="86" t="s">
        <v>269</v>
      </c>
    </row>
    <row r="90" customFormat="false" ht="25.5" hidden="false" customHeight="true" outlineLevel="0" collapsed="false">
      <c r="A90" s="100" t="s">
        <v>301</v>
      </c>
      <c r="B90" s="101" t="n">
        <v>43.852</v>
      </c>
      <c r="C90" s="98" t="n">
        <v>708.2</v>
      </c>
      <c r="D90" s="98" t="n">
        <v>708.2</v>
      </c>
      <c r="E90" s="102" t="n">
        <f aca="false">$D90*Parametros!$B$22</f>
        <v>2124.6</v>
      </c>
      <c r="F90" s="102" t="n">
        <f aca="false">$D90*Parametros!$C$22</f>
        <v>3399.36</v>
      </c>
      <c r="G90" s="102" t="n">
        <f aca="false">$D90*Parametros!$D$22</f>
        <v>7082</v>
      </c>
      <c r="H90" s="102" t="n">
        <f aca="false">$D90*Parametros!$B$23</f>
        <v>70.82</v>
      </c>
      <c r="I90" s="102" t="n">
        <f aca="false">$D90*Parametros!$C$23</f>
        <v>424.92</v>
      </c>
      <c r="J90" s="102" t="n">
        <f aca="false">$D90*Parametros!$D$23</f>
        <v>1062.3</v>
      </c>
      <c r="K90" s="89"/>
      <c r="L90" s="97" t="n">
        <f aca="false">COUNTIFS(Datos_Individuales!$C$204:$C$260,"Rio Amaime - Antes Caserio el Placer",Datos_Individuales!$G$204:$G$260,"&lt;&gt;")</f>
        <v>8</v>
      </c>
      <c r="M90" s="90" t="n">
        <f aca="false">IF($L90=0,"",AVERAGEIFS(Datos_Individuales!$G$204:$G$260,Datos_Individuales!$C$204:$C$260,"Rio Amaime - Antes Caserio el Placer"))</f>
        <v>1.1945</v>
      </c>
      <c r="N90" s="90" t="n">
        <f aca="false">IF($L90&lt;2,"",SQRT(SUMPRODUCT((Datos_Individuales!$C$204:$C$260="Rio Amaime - Antes Caserio el Placer")*(Datos_Individuales!$G$204:$G$260&lt;&gt;"")*(Datos_Individuales!$G$204:$G$260-$M90)^2)/($L90-1)))</f>
        <v>1.06919676125852</v>
      </c>
      <c r="O90" s="97" t="n">
        <f aca="false">COUNTIFS(Datos_Individuales!$C$204:$C$260,"Rio Amaime - Antes Caserio el Placer",Datos_Individuales!$I$204:$I$260,"&lt;&gt;")</f>
        <v>19</v>
      </c>
      <c r="P90" s="90" t="n">
        <f aca="false">IF($O90=0,"",AVERAGEIFS(Datos_Individuales!$I$204:$I$260,Datos_Individuales!$C$204:$C$260,"Rio Amaime - Antes Caserio el Placer"))</f>
        <v>0.146147368421053</v>
      </c>
      <c r="Q90" s="90" t="n">
        <f aca="false">IF($O90&lt;2,"",SQRT(SUMPRODUCT((Datos_Individuales!$C$204:$C$260="Rio Amaime - Antes Caserio el Placer")*(Datos_Individuales!$I$204:$I$260&lt;&gt;"")*(Datos_Individuales!$I$204:$I$260-$P90)^2)/($O90-1)))</f>
        <v>0.239591333474363</v>
      </c>
    </row>
    <row r="91" customFormat="false" ht="25.5" hidden="false" customHeight="true" outlineLevel="0" collapsed="false">
      <c r="A91" s="100" t="s">
        <v>302</v>
      </c>
      <c r="B91" s="101" t="n">
        <v>2.211</v>
      </c>
      <c r="C91" s="98" t="n">
        <v>83.49</v>
      </c>
      <c r="D91" s="98" t="n">
        <v>791.69</v>
      </c>
      <c r="E91" s="102" t="n">
        <f aca="false">$D91*Parametros!$B$22</f>
        <v>2375.07</v>
      </c>
      <c r="F91" s="102" t="n">
        <f aca="false">$D91*Parametros!$C$22</f>
        <v>3800.112</v>
      </c>
      <c r="G91" s="102" t="n">
        <f aca="false">$D91*Parametros!$D$22</f>
        <v>7916.9</v>
      </c>
      <c r="H91" s="102" t="n">
        <f aca="false">$D91*Parametros!$B$23</f>
        <v>79.169</v>
      </c>
      <c r="I91" s="102" t="n">
        <f aca="false">$D91*Parametros!$C$23</f>
        <v>475.014</v>
      </c>
      <c r="J91" s="102" t="n">
        <f aca="false">$D91*Parametros!$D$23</f>
        <v>1187.535</v>
      </c>
      <c r="K91" s="89"/>
      <c r="L91" s="97" t="n">
        <f aca="false">COUNTIFS(Datos_Individuales!$C$204:$C$260,"Rio Amaime - Antes desembocadura de Rio Nima",Datos_Individuales!$G$204:$G$260,"&lt;&gt;")</f>
        <v>7</v>
      </c>
      <c r="M91" s="90" t="n">
        <f aca="false">IF($L91=0,"",AVERAGEIFS(Datos_Individuales!$G$204:$G$260,Datos_Individuales!$C$204:$C$260,"Rio Amaime - Antes desembocadura de Rio Nima"))</f>
        <v>1.68728571428571</v>
      </c>
      <c r="N91" s="90" t="n">
        <f aca="false">IF($L91&lt;2,"",SQRT(SUMPRODUCT((Datos_Individuales!$C$204:$C$260="Rio Amaime - Antes desembocadura de Rio Nima")*(Datos_Individuales!$G$204:$G$260&lt;&gt;"")*(Datos_Individuales!$G$204:$G$260-$M91)^2)/($L91-1)))</f>
        <v>1.10223057392509</v>
      </c>
      <c r="O91" s="97" t="n">
        <f aca="false">COUNTIFS(Datos_Individuales!$C$204:$C$260,"Rio Amaime - Antes desembocadura de Rio Nima",Datos_Individuales!$I$204:$I$260,"&lt;&gt;")</f>
        <v>19</v>
      </c>
      <c r="P91" s="90" t="n">
        <f aca="false">IF($O91=0,"",AVERAGEIFS(Datos_Individuales!$I$204:$I$260,Datos_Individuales!$C$204:$C$260,"Rio Amaime - Antes desembocadura de Rio Nima"))</f>
        <v>0.274710526315789</v>
      </c>
      <c r="Q91" s="90" t="n">
        <f aca="false">IF($O91&lt;2,"",SQRT(SUMPRODUCT((Datos_Individuales!$C$204:$C$260="Rio Amaime - Antes desembocadura de Rio Nima")*(Datos_Individuales!$I$204:$I$260&lt;&gt;"")*(Datos_Individuales!$I$204:$I$260-$P91)^2)/($O91-1)))</f>
        <v>0.431188437660299</v>
      </c>
    </row>
    <row r="92" customFormat="false" ht="25.5" hidden="false" customHeight="true" outlineLevel="0" collapsed="false">
      <c r="A92" s="100" t="s">
        <v>303</v>
      </c>
      <c r="B92" s="101" t="n">
        <v>40.229</v>
      </c>
      <c r="C92" s="98" t="n">
        <v>2684.17</v>
      </c>
      <c r="D92" s="98" t="n">
        <v>3475.86</v>
      </c>
      <c r="E92" s="102" t="n">
        <f aca="false">$D92*Parametros!$B$22</f>
        <v>10427.58</v>
      </c>
      <c r="F92" s="102" t="n">
        <f aca="false">$D92*Parametros!$C$22</f>
        <v>16684.128</v>
      </c>
      <c r="G92" s="102" t="n">
        <f aca="false">$D92*Parametros!$D$22</f>
        <v>34758.6</v>
      </c>
      <c r="H92" s="102" t="n">
        <f aca="false">$D92*Parametros!$B$23</f>
        <v>347.586</v>
      </c>
      <c r="I92" s="102" t="n">
        <f aca="false">$D92*Parametros!$C$23</f>
        <v>2085.516</v>
      </c>
      <c r="J92" s="102" t="n">
        <f aca="false">$D92*Parametros!$D$23</f>
        <v>5213.79</v>
      </c>
      <c r="K92" s="89"/>
      <c r="L92" s="97" t="n">
        <f aca="false">COUNTIFS(Datos_Individuales!$C$204:$C$260,"Rio Amaime - antes Desembocadura a Rio Cauca",Datos_Individuales!$G$204:$G$260,"&lt;&gt;")</f>
        <v>7</v>
      </c>
      <c r="M92" s="90" t="n">
        <f aca="false">IF($L92=0,"",AVERAGEIFS(Datos_Individuales!$G$204:$G$260,Datos_Individuales!$C$204:$C$260,"Rio Amaime - antes Desembocadura a Rio Cauca"))</f>
        <v>1.67714285714286</v>
      </c>
      <c r="N92" s="90" t="n">
        <f aca="false">IF($L92&lt;2,"",SQRT(SUMPRODUCT((Datos_Individuales!$C$204:$C$260="Rio Amaime - antes Desembocadura a Rio Cauca")*(Datos_Individuales!$G$204:$G$260&lt;&gt;"")*(Datos_Individuales!$G$204:$G$260-$M92)^2)/($L92-1)))</f>
        <v>1.08490973949778</v>
      </c>
      <c r="O92" s="97" t="n">
        <f aca="false">COUNTIFS(Datos_Individuales!$C$204:$C$260,"Rio Amaime - antes Desembocadura a Rio Cauca",Datos_Individuales!$I$204:$I$260,"&lt;&gt;")</f>
        <v>19</v>
      </c>
      <c r="P92" s="90" t="n">
        <f aca="false">IF($O92=0,"",AVERAGEIFS(Datos_Individuales!$I$204:$I$260,Datos_Individuales!$C$204:$C$260,"Rio Amaime - antes Desembocadura a Rio Cauca"))</f>
        <v>0.215894736842105</v>
      </c>
      <c r="Q92" s="90" t="n">
        <f aca="false">IF($O92&lt;2,"",SQRT(SUMPRODUCT((Datos_Individuales!$C$204:$C$260="Rio Amaime - antes Desembocadura a Rio Cauca")*(Datos_Individuales!$I$204:$I$260&lt;&gt;"")*(Datos_Individuales!$I$204:$I$260-$P92)^2)/($O92-1)))</f>
        <v>0.168045107944544</v>
      </c>
    </row>
    <row r="93" customFormat="false" ht="15" hidden="false" customHeight="true" outlineLevel="0" collapsed="false">
      <c r="A93" s="103" t="s">
        <v>273</v>
      </c>
      <c r="B93" s="104" t="n">
        <f aca="false">SUM(B90:B92)</f>
        <v>86.292</v>
      </c>
      <c r="C93" s="105" t="n">
        <f aca="false">SUM(C90:C92)</f>
        <v>3475.86</v>
      </c>
      <c r="D93" s="105" t="n">
        <f aca="false">D92</f>
        <v>3475.86</v>
      </c>
      <c r="E93" s="106" t="n">
        <f aca="false">E92</f>
        <v>10427.58</v>
      </c>
      <c r="F93" s="106" t="n">
        <f aca="false">F92</f>
        <v>16684.128</v>
      </c>
      <c r="G93" s="106" t="n">
        <f aca="false">G92</f>
        <v>34758.6</v>
      </c>
      <c r="H93" s="106" t="n">
        <f aca="false">H92</f>
        <v>347.586</v>
      </c>
      <c r="I93" s="106" t="n">
        <f aca="false">I92</f>
        <v>2085.516</v>
      </c>
      <c r="J93" s="106" t="n">
        <f aca="false">J92</f>
        <v>5213.79</v>
      </c>
      <c r="K93" s="107"/>
      <c r="L93" s="108"/>
      <c r="M93" s="109"/>
      <c r="N93" s="109"/>
      <c r="O93" s="108"/>
      <c r="P93" s="109"/>
      <c r="Q93" s="109"/>
    </row>
    <row r="94" customFormat="false" ht="13.5" hidden="false" customHeight="true" outlineLevel="0" collapsed="false">
      <c r="A94" s="110" t="s">
        <v>274</v>
      </c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customFormat="false" ht="25.5" hidden="false" customHeight="true" outlineLevel="0" collapsed="false">
      <c r="A95" s="111" t="s">
        <v>35</v>
      </c>
      <c r="B95" s="112" t="s">
        <v>275</v>
      </c>
      <c r="C95" s="112" t="s">
        <v>276</v>
      </c>
      <c r="D95" s="112" t="s">
        <v>277</v>
      </c>
      <c r="E95" s="112" t="s">
        <v>278</v>
      </c>
      <c r="F95" s="111" t="s">
        <v>102</v>
      </c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</row>
    <row r="96" customFormat="false" ht="15" hidden="false" customHeight="false" outlineLevel="0" collapsed="false">
      <c r="A96" s="88" t="s">
        <v>279</v>
      </c>
      <c r="B96" s="97" t="n">
        <f aca="false">COUNT(Datos_Individuales!$G$204:$G$260)</f>
        <v>22</v>
      </c>
      <c r="C96" s="99" t="n">
        <f aca="false">IF($B96&lt;3,"",IFERROR(SLOPE(Datos_Individuales!$G$204:$G$260,Datos_Individuales!$F$204:$F$260),""))</f>
        <v>2.01772685536115E-005</v>
      </c>
      <c r="D96" s="90" t="n">
        <f aca="false">IF($B96&lt;3,"",IFERROR(RSQ(Datos_Individuales!$G$204:$G$260,Datos_Individuales!$F$204:$F$260),""))</f>
        <v>0.0141556889106881</v>
      </c>
      <c r="E96" s="90" t="n">
        <f aca="false">IF($B96&lt;3,"",IFERROR(CORREL(Datos_Individuales!$G$204:$G$260,Datos_Individuales!$F$204:$F$260),""))</f>
        <v>0.118977682405937</v>
      </c>
      <c r="F96" s="100" t="str">
        <f aca="false">IF($B96&lt;3,"Datos insuficientes para regresar.",IF($D96="","Todas las mediciones provienen de una sola estación: el eje x no varía y la regresión no es estimable.",IF($C96&lt;0,"Pendiente negativa: la concentración baja al aumentar la caña aguas arriba. No hay señal atribuible a la caña.",IF($D96&lt;0.1,"La carga de caña explica menos del 10% de la variabilidad observada.",IF($D96&lt;0.3,"Asociación débil: la caña explica una fracción menor de la variabilidad.",IF($D96&lt;0.5,"Asociación moderada.","Asociación relativamente fuerte para dato observacional."))))))</f>
        <v>La carga de caña explica menos del 10% de la variabilidad observada.</v>
      </c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</row>
    <row r="97" customFormat="false" ht="15" hidden="false" customHeight="false" outlineLevel="0" collapsed="false">
      <c r="A97" s="88" t="s">
        <v>280</v>
      </c>
      <c r="B97" s="97" t="n">
        <f aca="false">COUNT(Datos_Individuales!$I$204:$I$260)</f>
        <v>57</v>
      </c>
      <c r="C97" s="99" t="n">
        <f aca="false">IF($B97&lt;3,"",IFERROR(SLOPE(Datos_Individuales!$I$204:$I$260,Datos_Individuales!$H$204:$H$260),""))</f>
        <v>5.14391098621289E-006</v>
      </c>
      <c r="D97" s="90" t="n">
        <f aca="false">IF($B97&lt;3,"",IFERROR(RSQ(Datos_Individuales!$I$204:$I$260,Datos_Individuales!$H$204:$H$260),""))</f>
        <v>0.000177815295100245</v>
      </c>
      <c r="E97" s="90" t="n">
        <f aca="false">IF($B97&lt;3,"",IFERROR(CORREL(Datos_Individuales!$I$204:$I$260,Datos_Individuales!$H$204:$H$260),""))</f>
        <v>0.0133347401587074</v>
      </c>
      <c r="F97" s="100" t="str">
        <f aca="false">IF($B97&lt;3,"Datos insuficientes para regresar.",IF($D97="","Todas las mediciones provienen de una sola estación: el eje x no varía y la regresión no es estimable.",IF($C97&lt;0,"Pendiente negativa: la concentración baja al aumentar la caña aguas arriba. No hay señal atribuible a la caña.",IF($D97&lt;0.1,"La carga de caña explica menos del 10% de la variabilidad observada.",IF($D97&lt;0.3,"Asociación débil: la caña explica una fracción menor de la variabilidad.",IF($D97&lt;0.5,"Asociación moderada.","Asociación relativamente fuerte para dato observacional."))))))</f>
        <v>La carga de caña explica menos del 10% de la variabilidad observada.</v>
      </c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</row>
    <row r="100" customFormat="false" ht="18.75" hidden="false" customHeight="true" outlineLevel="0" collapsed="false">
      <c r="A100" s="95" t="s">
        <v>304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</row>
    <row r="101" customFormat="false" ht="30" hidden="false" customHeight="true" outlineLevel="0" collapsed="false">
      <c r="A101" s="96" t="s">
        <v>254</v>
      </c>
      <c r="B101" s="86" t="s">
        <v>255</v>
      </c>
      <c r="C101" s="86" t="s">
        <v>256</v>
      </c>
      <c r="D101" s="86" t="s">
        <v>257</v>
      </c>
      <c r="E101" s="86" t="s">
        <v>258</v>
      </c>
      <c r="F101" s="86" t="s">
        <v>259</v>
      </c>
      <c r="G101" s="86" t="s">
        <v>260</v>
      </c>
      <c r="H101" s="86" t="s">
        <v>261</v>
      </c>
      <c r="I101" s="86" t="s">
        <v>262</v>
      </c>
      <c r="J101" s="86" t="s">
        <v>263</v>
      </c>
      <c r="K101" s="86"/>
      <c r="L101" s="86" t="s">
        <v>264</v>
      </c>
      <c r="M101" s="86" t="s">
        <v>265</v>
      </c>
      <c r="N101" s="86" t="s">
        <v>266</v>
      </c>
      <c r="O101" s="86" t="s">
        <v>267</v>
      </c>
      <c r="P101" s="86" t="s">
        <v>268</v>
      </c>
      <c r="Q101" s="86" t="s">
        <v>269</v>
      </c>
    </row>
    <row r="102" customFormat="false" ht="25.5" hidden="false" customHeight="true" outlineLevel="0" collapsed="false">
      <c r="A102" s="100" t="s">
        <v>305</v>
      </c>
      <c r="B102" s="101" t="n">
        <v>39.568</v>
      </c>
      <c r="C102" s="98" t="n">
        <v>896.63</v>
      </c>
      <c r="D102" s="98" t="n">
        <v>896.63</v>
      </c>
      <c r="E102" s="102" t="n">
        <f aca="false">$D102*Parametros!$B$22</f>
        <v>2689.89</v>
      </c>
      <c r="F102" s="102" t="n">
        <f aca="false">$D102*Parametros!$C$22</f>
        <v>4303.824</v>
      </c>
      <c r="G102" s="102" t="n">
        <f aca="false">$D102*Parametros!$D$22</f>
        <v>8966.3</v>
      </c>
      <c r="H102" s="102" t="n">
        <f aca="false">$D102*Parametros!$B$23</f>
        <v>89.663</v>
      </c>
      <c r="I102" s="102" t="n">
        <f aca="false">$D102*Parametros!$C$23</f>
        <v>537.978</v>
      </c>
      <c r="J102" s="102" t="n">
        <f aca="false">$D102*Parametros!$D$23</f>
        <v>1344.945</v>
      </c>
      <c r="K102" s="89"/>
      <c r="L102" s="97" t="n">
        <f aca="false">COUNTIFS(Datos_Individuales!$C$261:$C$278,"Rio Nima - Antes desembocadura a rio Amaime",Datos_Individuales!$G$261:$G$278,"&lt;&gt;")</f>
        <v>7</v>
      </c>
      <c r="M102" s="90" t="n">
        <f aca="false">IF($L102=0,"",AVERAGEIFS(Datos_Individuales!$G$261:$G$278,Datos_Individuales!$C$261:$C$278,"Rio Nima - Antes desembocadura a rio Amaime"))</f>
        <v>2.97142857142857</v>
      </c>
      <c r="N102" s="90" t="n">
        <f aca="false">IF($L102&lt;2,"",SQRT(SUMPRODUCT((Datos_Individuales!$C$261:$C$278="Rio Nima - Antes desembocadura a rio Amaime")*(Datos_Individuales!$G$261:$G$278&lt;&gt;"")*(Datos_Individuales!$G$261:$G$278-$M102)^2)/($L102-1)))</f>
        <v>2.40742205530749</v>
      </c>
      <c r="O102" s="97" t="n">
        <f aca="false">COUNTIFS(Datos_Individuales!$C$261:$C$278,"Rio Nima - Antes desembocadura a rio Amaime",Datos_Individuales!$I$261:$I$278,"&lt;&gt;")</f>
        <v>18</v>
      </c>
      <c r="P102" s="90" t="n">
        <f aca="false">IF($O102=0,"",AVERAGEIFS(Datos_Individuales!$I$261:$I$278,Datos_Individuales!$C$261:$C$278,"Rio Nima - Antes desembocadura a rio Amaime"))</f>
        <v>0.42695</v>
      </c>
      <c r="Q102" s="90" t="n">
        <f aca="false">IF($O102&lt;2,"",SQRT(SUMPRODUCT((Datos_Individuales!$C$261:$C$278="Rio Nima - Antes desembocadura a rio Amaime")*(Datos_Individuales!$I$261:$I$278&lt;&gt;"")*(Datos_Individuales!$I$261:$I$278-$P102)^2)/($O102-1)))</f>
        <v>0.509551766405592</v>
      </c>
    </row>
    <row r="103" customFormat="false" ht="15" hidden="false" customHeight="true" outlineLevel="0" collapsed="false">
      <c r="A103" s="103" t="s">
        <v>273</v>
      </c>
      <c r="B103" s="104" t="n">
        <f aca="false">SUM(B102:B102)</f>
        <v>39.568</v>
      </c>
      <c r="C103" s="105" t="n">
        <f aca="false">SUM(C102:C102)</f>
        <v>896.63</v>
      </c>
      <c r="D103" s="105" t="n">
        <f aca="false">D102</f>
        <v>896.63</v>
      </c>
      <c r="E103" s="106" t="n">
        <f aca="false">E102</f>
        <v>2689.89</v>
      </c>
      <c r="F103" s="106" t="n">
        <f aca="false">F102</f>
        <v>4303.824</v>
      </c>
      <c r="G103" s="106" t="n">
        <f aca="false">G102</f>
        <v>8966.3</v>
      </c>
      <c r="H103" s="106" t="n">
        <f aca="false">H102</f>
        <v>89.663</v>
      </c>
      <c r="I103" s="106" t="n">
        <f aca="false">I102</f>
        <v>537.978</v>
      </c>
      <c r="J103" s="106" t="n">
        <f aca="false">J102</f>
        <v>1344.945</v>
      </c>
      <c r="K103" s="107"/>
      <c r="L103" s="108"/>
      <c r="M103" s="109"/>
      <c r="N103" s="109"/>
      <c r="O103" s="108"/>
      <c r="P103" s="109"/>
      <c r="Q103" s="109"/>
    </row>
    <row r="104" customFormat="false" ht="13.5" hidden="false" customHeight="true" outlineLevel="0" collapsed="false">
      <c r="A104" s="110" t="s">
        <v>274</v>
      </c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customFormat="false" ht="25.5" hidden="false" customHeight="true" outlineLevel="0" collapsed="false">
      <c r="A105" s="111" t="s">
        <v>35</v>
      </c>
      <c r="B105" s="112" t="s">
        <v>275</v>
      </c>
      <c r="C105" s="112" t="s">
        <v>276</v>
      </c>
      <c r="D105" s="112" t="s">
        <v>277</v>
      </c>
      <c r="E105" s="112" t="s">
        <v>278</v>
      </c>
      <c r="F105" s="111" t="s">
        <v>102</v>
      </c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</row>
    <row r="106" customFormat="false" ht="15" hidden="false" customHeight="false" outlineLevel="0" collapsed="false">
      <c r="A106" s="88" t="s">
        <v>279</v>
      </c>
      <c r="B106" s="97" t="n">
        <f aca="false">COUNT(Datos_Individuales!$G$261:$G$278)</f>
        <v>7</v>
      </c>
      <c r="C106" s="99" t="str">
        <f aca="false">IF($B106&lt;3,"",IFERROR(SLOPE(Datos_Individuales!$G$261:$G$278,Datos_Individuales!$F$261:$F$278),""))</f>
        <v/>
      </c>
      <c r="D106" s="90" t="str">
        <f aca="false">IF($B106&lt;3,"",IFERROR(RSQ(Datos_Individuales!$G$261:$G$278,Datos_Individuales!$F$261:$F$278),""))</f>
        <v/>
      </c>
      <c r="E106" s="90" t="str">
        <f aca="false">IF($B106&lt;3,"",IFERROR(CORREL(Datos_Individuales!$G$261:$G$278,Datos_Individuales!$F$261:$F$278),""))</f>
        <v/>
      </c>
      <c r="F106" s="100" t="str">
        <f aca="false">IF($B106&lt;3,"Datos insuficientes para regresar.",IF($D106="","Todas las mediciones provienen de una sola estación: el eje x no varía y la regresión no es estimable.",IF($C106&lt;0,"Pendiente negativa: la concentración baja al aumentar la caña aguas arriba. No hay señal atribuible a la caña.",IF($D106&lt;0.1,"La carga de caña explica menos del 10% de la variabilidad observada.",IF($D106&lt;0.3,"Asociación débil: la caña explica una fracción menor de la variabilidad.",IF($D106&lt;0.5,"Asociación moderada.","Asociación relativamente fuerte para dato observacional."))))))</f>
        <v>Todas las mediciones provienen de una sola estación: el eje x no varía y la regresión no es estimable.</v>
      </c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</row>
    <row r="107" customFormat="false" ht="15" hidden="false" customHeight="false" outlineLevel="0" collapsed="false">
      <c r="A107" s="88" t="s">
        <v>280</v>
      </c>
      <c r="B107" s="97" t="n">
        <f aca="false">COUNT(Datos_Individuales!$I$261:$I$278)</f>
        <v>18</v>
      </c>
      <c r="C107" s="99" t="str">
        <f aca="false">IF($B107&lt;3,"",IFERROR(SLOPE(Datos_Individuales!$I$261:$I$278,Datos_Individuales!$H$261:$H$278),""))</f>
        <v/>
      </c>
      <c r="D107" s="90" t="str">
        <f aca="false">IF($B107&lt;3,"",IFERROR(RSQ(Datos_Individuales!$I$261:$I$278,Datos_Individuales!$H$261:$H$278),""))</f>
        <v/>
      </c>
      <c r="E107" s="90" t="str">
        <f aca="false">IF($B107&lt;3,"",IFERROR(CORREL(Datos_Individuales!$I$261:$I$278,Datos_Individuales!$H$261:$H$278),""))</f>
        <v/>
      </c>
      <c r="F107" s="100" t="str">
        <f aca="false">IF($B107&lt;3,"Datos insuficientes para regresar.",IF($D107="","Todas las mediciones provienen de una sola estación: el eje x no varía y la regresión no es estimable.",IF($C107&lt;0,"Pendiente negativa: la concentración baja al aumentar la caña aguas arriba. No hay señal atribuible a la caña.",IF($D107&lt;0.1,"La carga de caña explica menos del 10% de la variabilidad observada.",IF($D107&lt;0.3,"Asociación débil: la caña explica una fracción menor de la variabilidad.",IF($D107&lt;0.5,"Asociación moderada.","Asociación relativamente fuerte para dato observacional."))))))</f>
        <v>Todas las mediciones provienen de una sola estación: el eje x no varía y la regresión no es estimable.</v>
      </c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</row>
    <row r="110" customFormat="false" ht="18.75" hidden="false" customHeight="true" outlineLevel="0" collapsed="false">
      <c r="A110" s="95" t="s">
        <v>306</v>
      </c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</row>
    <row r="111" customFormat="false" ht="30" hidden="false" customHeight="true" outlineLevel="0" collapsed="false">
      <c r="A111" s="96" t="s">
        <v>254</v>
      </c>
      <c r="B111" s="86" t="s">
        <v>255</v>
      </c>
      <c r="C111" s="86" t="s">
        <v>256</v>
      </c>
      <c r="D111" s="86" t="s">
        <v>257</v>
      </c>
      <c r="E111" s="86" t="s">
        <v>258</v>
      </c>
      <c r="F111" s="86" t="s">
        <v>259</v>
      </c>
      <c r="G111" s="86" t="s">
        <v>260</v>
      </c>
      <c r="H111" s="86" t="s">
        <v>261</v>
      </c>
      <c r="I111" s="86" t="s">
        <v>262</v>
      </c>
      <c r="J111" s="86" t="s">
        <v>263</v>
      </c>
      <c r="K111" s="86"/>
      <c r="L111" s="86" t="s">
        <v>264</v>
      </c>
      <c r="M111" s="86" t="s">
        <v>265</v>
      </c>
      <c r="N111" s="86" t="s">
        <v>266</v>
      </c>
      <c r="O111" s="86" t="s">
        <v>267</v>
      </c>
      <c r="P111" s="86" t="s">
        <v>268</v>
      </c>
      <c r="Q111" s="86" t="s">
        <v>269</v>
      </c>
    </row>
    <row r="112" customFormat="false" ht="25.5" hidden="false" customHeight="true" outlineLevel="0" collapsed="false">
      <c r="A112" s="100" t="s">
        <v>307</v>
      </c>
      <c r="B112" s="101" t="n">
        <v>42.231</v>
      </c>
      <c r="C112" s="98" t="n">
        <v>1825.85</v>
      </c>
      <c r="D112" s="98" t="n">
        <v>1825.85</v>
      </c>
      <c r="E112" s="102" t="n">
        <f aca="false">$D112*Parametros!$B$22</f>
        <v>5477.55</v>
      </c>
      <c r="F112" s="102" t="n">
        <f aca="false">$D112*Parametros!$C$22</f>
        <v>8764.08</v>
      </c>
      <c r="G112" s="102" t="n">
        <f aca="false">$D112*Parametros!$D$22</f>
        <v>18258.5</v>
      </c>
      <c r="H112" s="102" t="n">
        <f aca="false">$D112*Parametros!$B$23</f>
        <v>182.585</v>
      </c>
      <c r="I112" s="102" t="n">
        <f aca="false">$D112*Parametros!$C$23</f>
        <v>1095.51</v>
      </c>
      <c r="J112" s="102" t="n">
        <f aca="false">$D112*Parametros!$D$23</f>
        <v>2738.775</v>
      </c>
      <c r="K112" s="89"/>
      <c r="L112" s="97" t="n">
        <f aca="false">COUNTIFS(Datos_Individuales!$C$279:$C$295,"Rio Guabas - Antes desembocadura a Río Cauca",Datos_Individuales!$G$279:$G$295,"&lt;&gt;")</f>
        <v>7</v>
      </c>
      <c r="M112" s="90" t="n">
        <f aca="false">IF($L112=0,"",AVERAGEIFS(Datos_Individuales!$G$279:$G$295,Datos_Individuales!$C$279:$C$295,"Rio Guabas - Antes desembocadura a Río Cauca"))</f>
        <v>1.82371428571429</v>
      </c>
      <c r="N112" s="90" t="n">
        <f aca="false">IF($L112&lt;2,"",SQRT(SUMPRODUCT((Datos_Individuales!$C$279:$C$295="Rio Guabas - Antes desembocadura a Río Cauca")*(Datos_Individuales!$G$279:$G$295&lt;&gt;"")*(Datos_Individuales!$G$279:$G$295-$M112)^2)/($L112-1)))</f>
        <v>0.663272119692894</v>
      </c>
      <c r="O112" s="97" t="n">
        <f aca="false">COUNTIFS(Datos_Individuales!$C$279:$C$295,"Rio Guabas - Antes desembocadura a Río Cauca",Datos_Individuales!$I$279:$I$295,"&lt;&gt;")</f>
        <v>17</v>
      </c>
      <c r="P112" s="90" t="n">
        <f aca="false">IF($O112=0,"",AVERAGEIFS(Datos_Individuales!$I$279:$I$295,Datos_Individuales!$C$279:$C$295,"Rio Guabas - Antes desembocadura a Río Cauca"))</f>
        <v>0.151405882352941</v>
      </c>
      <c r="Q112" s="90" t="n">
        <f aca="false">IF($O112&lt;2,"",SQRT(SUMPRODUCT((Datos_Individuales!$C$279:$C$295="Rio Guabas - Antes desembocadura a Río Cauca")*(Datos_Individuales!$I$279:$I$295&lt;&gt;"")*(Datos_Individuales!$I$279:$I$295-$P112)^2)/($O112-1)))</f>
        <v>0.0788436543942206</v>
      </c>
    </row>
    <row r="113" customFormat="false" ht="15" hidden="false" customHeight="true" outlineLevel="0" collapsed="false">
      <c r="A113" s="103" t="s">
        <v>273</v>
      </c>
      <c r="B113" s="104" t="n">
        <f aca="false">SUM(B112:B112)</f>
        <v>42.231</v>
      </c>
      <c r="C113" s="105" t="n">
        <f aca="false">SUM(C112:C112)</f>
        <v>1825.85</v>
      </c>
      <c r="D113" s="105" t="n">
        <f aca="false">D112</f>
        <v>1825.85</v>
      </c>
      <c r="E113" s="106" t="n">
        <f aca="false">E112</f>
        <v>5477.55</v>
      </c>
      <c r="F113" s="106" t="n">
        <f aca="false">F112</f>
        <v>8764.08</v>
      </c>
      <c r="G113" s="106" t="n">
        <f aca="false">G112</f>
        <v>18258.5</v>
      </c>
      <c r="H113" s="106" t="n">
        <f aca="false">H112</f>
        <v>182.585</v>
      </c>
      <c r="I113" s="106" t="n">
        <f aca="false">I112</f>
        <v>1095.51</v>
      </c>
      <c r="J113" s="106" t="n">
        <f aca="false">J112</f>
        <v>2738.775</v>
      </c>
      <c r="K113" s="107"/>
      <c r="L113" s="108"/>
      <c r="M113" s="109"/>
      <c r="N113" s="109"/>
      <c r="O113" s="108"/>
      <c r="P113" s="109"/>
      <c r="Q113" s="109"/>
    </row>
    <row r="114" customFormat="false" ht="13.5" hidden="false" customHeight="true" outlineLevel="0" collapsed="false">
      <c r="A114" s="110" t="s">
        <v>274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customFormat="false" ht="25.5" hidden="false" customHeight="true" outlineLevel="0" collapsed="false">
      <c r="A115" s="111" t="s">
        <v>35</v>
      </c>
      <c r="B115" s="112" t="s">
        <v>275</v>
      </c>
      <c r="C115" s="112" t="s">
        <v>276</v>
      </c>
      <c r="D115" s="112" t="s">
        <v>277</v>
      </c>
      <c r="E115" s="112" t="s">
        <v>278</v>
      </c>
      <c r="F115" s="111" t="s">
        <v>102</v>
      </c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</row>
    <row r="116" customFormat="false" ht="15" hidden="false" customHeight="false" outlineLevel="0" collapsed="false">
      <c r="A116" s="88" t="s">
        <v>279</v>
      </c>
      <c r="B116" s="97" t="n">
        <f aca="false">COUNT(Datos_Individuales!$G$279:$G$295)</f>
        <v>7</v>
      </c>
      <c r="C116" s="99" t="str">
        <f aca="false">IF($B116&lt;3,"",IFERROR(SLOPE(Datos_Individuales!$G$279:$G$295,Datos_Individuales!$F$279:$F$295),""))</f>
        <v/>
      </c>
      <c r="D116" s="90" t="str">
        <f aca="false">IF($B116&lt;3,"",IFERROR(RSQ(Datos_Individuales!$G$279:$G$295,Datos_Individuales!$F$279:$F$295),""))</f>
        <v/>
      </c>
      <c r="E116" s="90" t="str">
        <f aca="false">IF($B116&lt;3,"",IFERROR(CORREL(Datos_Individuales!$G$279:$G$295,Datos_Individuales!$F$279:$F$295),""))</f>
        <v/>
      </c>
      <c r="F116" s="100" t="str">
        <f aca="false">IF($B116&lt;3,"Datos insuficientes para regresar.",IF($D116="","Todas las mediciones provienen de una sola estación: el eje x no varía y la regresión no es estimable.",IF($C116&lt;0,"Pendiente negativa: la concentración baja al aumentar la caña aguas arriba. No hay señal atribuible a la caña.",IF($D116&lt;0.1,"La carga de caña explica menos del 10% de la variabilidad observada.",IF($D116&lt;0.3,"Asociación débil: la caña explica una fracción menor de la variabilidad.",IF($D116&lt;0.5,"Asociación moderada.","Asociación relativamente fuerte para dato observacional."))))))</f>
        <v>Todas las mediciones provienen de una sola estación: el eje x no varía y la regresión no es estimable.</v>
      </c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</row>
    <row r="117" customFormat="false" ht="15" hidden="false" customHeight="false" outlineLevel="0" collapsed="false">
      <c r="A117" s="88" t="s">
        <v>280</v>
      </c>
      <c r="B117" s="97" t="n">
        <f aca="false">COUNT(Datos_Individuales!$I$279:$I$295)</f>
        <v>17</v>
      </c>
      <c r="C117" s="99" t="str">
        <f aca="false">IF($B117&lt;3,"",IFERROR(SLOPE(Datos_Individuales!$I$279:$I$295,Datos_Individuales!$H$279:$H$295),""))</f>
        <v/>
      </c>
      <c r="D117" s="90" t="str">
        <f aca="false">IF($B117&lt;3,"",IFERROR(RSQ(Datos_Individuales!$I$279:$I$295,Datos_Individuales!$H$279:$H$295),""))</f>
        <v/>
      </c>
      <c r="E117" s="90" t="str">
        <f aca="false">IF($B117&lt;3,"",IFERROR(CORREL(Datos_Individuales!$I$279:$I$295,Datos_Individuales!$H$279:$H$295),""))</f>
        <v/>
      </c>
      <c r="F117" s="100" t="str">
        <f aca="false">IF($B117&lt;3,"Datos insuficientes para regresar.",IF($D117="","Todas las mediciones provienen de una sola estación: el eje x no varía y la regresión no es estimable.",IF($C117&lt;0,"Pendiente negativa: la concentración baja al aumentar la caña aguas arriba. No hay señal atribuible a la caña.",IF($D117&lt;0.1,"La carga de caña explica menos del 10% de la variabilidad observada.",IF($D117&lt;0.3,"Asociación débil: la caña explica una fracción menor de la variabilidad.",IF($D117&lt;0.5,"Asociación moderada.","Asociación relativamente fuerte para dato observacional."))))))</f>
        <v>Todas las mediciones provienen de una sola estación: el eje x no varía y la regresión no es estimable.</v>
      </c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</row>
    <row r="120" customFormat="false" ht="18.75" hidden="false" customHeight="true" outlineLevel="0" collapsed="false">
      <c r="A120" s="95" t="s">
        <v>308</v>
      </c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</row>
    <row r="121" customFormat="false" ht="30" hidden="false" customHeight="true" outlineLevel="0" collapsed="false">
      <c r="A121" s="96" t="s">
        <v>254</v>
      </c>
      <c r="B121" s="86" t="s">
        <v>255</v>
      </c>
      <c r="C121" s="86" t="s">
        <v>256</v>
      </c>
      <c r="D121" s="86" t="s">
        <v>257</v>
      </c>
      <c r="E121" s="86" t="s">
        <v>258</v>
      </c>
      <c r="F121" s="86" t="s">
        <v>259</v>
      </c>
      <c r="G121" s="86" t="s">
        <v>260</v>
      </c>
      <c r="H121" s="86" t="s">
        <v>261</v>
      </c>
      <c r="I121" s="86" t="s">
        <v>262</v>
      </c>
      <c r="J121" s="86" t="s">
        <v>263</v>
      </c>
      <c r="K121" s="86"/>
      <c r="L121" s="86" t="s">
        <v>264</v>
      </c>
      <c r="M121" s="86" t="s">
        <v>265</v>
      </c>
      <c r="N121" s="86" t="s">
        <v>266</v>
      </c>
      <c r="O121" s="86" t="s">
        <v>267</v>
      </c>
      <c r="P121" s="86" t="s">
        <v>268</v>
      </c>
      <c r="Q121" s="86" t="s">
        <v>269</v>
      </c>
    </row>
    <row r="122" customFormat="false" ht="25.5" hidden="false" customHeight="true" outlineLevel="0" collapsed="false">
      <c r="A122" s="100" t="s">
        <v>309</v>
      </c>
      <c r="B122" s="101" t="n">
        <v>14.872</v>
      </c>
      <c r="C122" s="98" t="n">
        <v>44.72</v>
      </c>
      <c r="D122" s="98" t="n">
        <v>44.72</v>
      </c>
      <c r="E122" s="102" t="n">
        <f aca="false">$D122*Parametros!$B$22</f>
        <v>134.16</v>
      </c>
      <c r="F122" s="102" t="n">
        <f aca="false">$D122*Parametros!$C$22</f>
        <v>214.656</v>
      </c>
      <c r="G122" s="102" t="n">
        <f aca="false">$D122*Parametros!$D$22</f>
        <v>447.2</v>
      </c>
      <c r="H122" s="102" t="n">
        <f aca="false">$D122*Parametros!$B$23</f>
        <v>4.472</v>
      </c>
      <c r="I122" s="102" t="n">
        <f aca="false">$D122*Parametros!$C$23</f>
        <v>26.832</v>
      </c>
      <c r="J122" s="102" t="n">
        <f aca="false">$D122*Parametros!$D$23</f>
        <v>67.08</v>
      </c>
      <c r="K122" s="89"/>
      <c r="L122" s="97" t="n">
        <f aca="false">COUNTIFS(Datos_Individuales!$C$296:$C$343,"Rio Sabaletas - Cruce sector vía La Novillera",Datos_Individuales!$G$296:$G$343,"&lt;&gt;")</f>
        <v>8</v>
      </c>
      <c r="M122" s="90" t="n">
        <f aca="false">IF($L122=0,"",AVERAGEIFS(Datos_Individuales!$G$296:$G$343,Datos_Individuales!$C$296:$C$343,"Rio Sabaletas - Cruce sector vía La Novillera"))</f>
        <v>1.0855</v>
      </c>
      <c r="N122" s="90" t="n">
        <f aca="false">IF($L122&lt;2,"",SQRT(SUMPRODUCT((Datos_Individuales!$C$296:$C$343="Rio Sabaletas - Cruce sector vía La Novillera")*(Datos_Individuales!$G$296:$G$343&lt;&gt;"")*(Datos_Individuales!$G$296:$G$343-$M122)^2)/($L122-1)))</f>
        <v>0.721599414000396</v>
      </c>
      <c r="O122" s="97" t="n">
        <f aca="false">COUNTIFS(Datos_Individuales!$C$296:$C$343,"Rio Sabaletas - Cruce sector vía La Novillera",Datos_Individuales!$I$296:$I$343,"&lt;&gt;")</f>
        <v>16</v>
      </c>
      <c r="P122" s="90" t="n">
        <f aca="false">IF($O122=0,"",AVERAGEIFS(Datos_Individuales!$I$296:$I$343,Datos_Individuales!$C$296:$C$343,"Rio Sabaletas - Cruce sector vía La Novillera"))</f>
        <v>0.128275</v>
      </c>
      <c r="Q122" s="90" t="n">
        <f aca="false">IF($O122&lt;2,"",SQRT(SUMPRODUCT((Datos_Individuales!$C$296:$C$343="Rio Sabaletas - Cruce sector vía La Novillera")*(Datos_Individuales!$I$296:$I$343&lt;&gt;"")*(Datos_Individuales!$I$296:$I$343-$P122)^2)/($O122-1)))</f>
        <v>0.0946789276097556</v>
      </c>
    </row>
    <row r="123" customFormat="false" ht="25.5" hidden="false" customHeight="true" outlineLevel="0" collapsed="false">
      <c r="A123" s="100" t="s">
        <v>310</v>
      </c>
      <c r="B123" s="101" t="n">
        <v>5.229</v>
      </c>
      <c r="C123" s="98" t="n">
        <v>342.85</v>
      </c>
      <c r="D123" s="98" t="n">
        <v>387.57</v>
      </c>
      <c r="E123" s="102" t="n">
        <f aca="false">$D123*Parametros!$B$22</f>
        <v>1162.71</v>
      </c>
      <c r="F123" s="102" t="n">
        <f aca="false">$D123*Parametros!$C$22</f>
        <v>1860.336</v>
      </c>
      <c r="G123" s="102" t="n">
        <f aca="false">$D123*Parametros!$D$22</f>
        <v>3875.7</v>
      </c>
      <c r="H123" s="102" t="n">
        <f aca="false">$D123*Parametros!$B$23</f>
        <v>38.757</v>
      </c>
      <c r="I123" s="102" t="n">
        <f aca="false">$D123*Parametros!$C$23</f>
        <v>232.542</v>
      </c>
      <c r="J123" s="102" t="n">
        <f aca="false">$D123*Parametros!$D$23</f>
        <v>581.355</v>
      </c>
      <c r="K123" s="89"/>
      <c r="L123" s="97" t="n">
        <f aca="false">COUNTIFS(Datos_Individuales!$C$296:$C$343,"Rio Sabaletas - Puente vía Santa Elena-Ginebra",Datos_Individuales!$G$296:$G$343,"&lt;&gt;")</f>
        <v>8</v>
      </c>
      <c r="M123" s="90" t="n">
        <f aca="false">IF($L123=0,"",AVERAGEIFS(Datos_Individuales!$G$296:$G$343,Datos_Individuales!$C$296:$C$343,"Rio Sabaletas - Puente vía Santa Elena-Ginebra"))</f>
        <v>1.16575</v>
      </c>
      <c r="N123" s="90" t="n">
        <f aca="false">IF($L123&lt;2,"",SQRT(SUMPRODUCT((Datos_Individuales!$C$296:$C$343="Rio Sabaletas - Puente vía Santa Elena-Ginebra")*(Datos_Individuales!$G$296:$G$343&lt;&gt;"")*(Datos_Individuales!$G$296:$G$343-$M123)^2)/($L123-1)))</f>
        <v>0.615056269202838</v>
      </c>
      <c r="O123" s="97" t="n">
        <f aca="false">COUNTIFS(Datos_Individuales!$C$296:$C$343,"Rio Sabaletas - Puente vía Santa Elena-Ginebra",Datos_Individuales!$I$296:$I$343,"&lt;&gt;")</f>
        <v>16</v>
      </c>
      <c r="P123" s="90" t="n">
        <f aca="false">IF($O123=0,"",AVERAGEIFS(Datos_Individuales!$I$296:$I$343,Datos_Individuales!$C$296:$C$343,"Rio Sabaletas - Puente vía Santa Elena-Ginebra"))</f>
        <v>0.12491875</v>
      </c>
      <c r="Q123" s="90" t="n">
        <f aca="false">IF($O123&lt;2,"",SQRT(SUMPRODUCT((Datos_Individuales!$C$296:$C$343="Rio Sabaletas - Puente vía Santa Elena-Ginebra")*(Datos_Individuales!$I$296:$I$343&lt;&gt;"")*(Datos_Individuales!$I$296:$I$343-$P123)^2)/($O123-1)))</f>
        <v>0.071699513887241</v>
      </c>
    </row>
    <row r="124" customFormat="false" ht="25.5" hidden="false" customHeight="true" outlineLevel="0" collapsed="false">
      <c r="A124" s="100" t="s">
        <v>311</v>
      </c>
      <c r="B124" s="101" t="n">
        <v>23.252</v>
      </c>
      <c r="C124" s="98" t="n">
        <v>2139.4</v>
      </c>
      <c r="D124" s="98" t="n">
        <v>2526.97</v>
      </c>
      <c r="E124" s="102" t="n">
        <f aca="false">$D124*Parametros!$B$22</f>
        <v>7580.91</v>
      </c>
      <c r="F124" s="102" t="n">
        <f aca="false">$D124*Parametros!$C$22</f>
        <v>12129.456</v>
      </c>
      <c r="G124" s="102" t="n">
        <f aca="false">$D124*Parametros!$D$22</f>
        <v>25269.7</v>
      </c>
      <c r="H124" s="102" t="n">
        <f aca="false">$D124*Parametros!$B$23</f>
        <v>252.697</v>
      </c>
      <c r="I124" s="102" t="n">
        <f aca="false">$D124*Parametros!$C$23</f>
        <v>1516.182</v>
      </c>
      <c r="J124" s="102" t="n">
        <f aca="false">$D124*Parametros!$D$23</f>
        <v>3790.455</v>
      </c>
      <c r="K124" s="89"/>
      <c r="L124" s="97" t="n">
        <f aca="false">COUNTIFS(Datos_Individuales!$C$296:$C$343,"Rio Sabaletas - Antes desembocadura a Rio Cauca",Datos_Individuales!$G$296:$G$343,"&lt;&gt;")</f>
        <v>8</v>
      </c>
      <c r="M124" s="90" t="n">
        <f aca="false">IF($L124=0,"",AVERAGEIFS(Datos_Individuales!$G$296:$G$343,Datos_Individuales!$C$296:$C$343,"Rio Sabaletas - Antes desembocadura a Rio Cauca"))</f>
        <v>2.46375</v>
      </c>
      <c r="N124" s="90" t="n">
        <f aca="false">IF($L124&lt;2,"",SQRT(SUMPRODUCT((Datos_Individuales!$C$296:$C$343="Rio Sabaletas - Antes desembocadura a Rio Cauca")*(Datos_Individuales!$G$296:$G$343&lt;&gt;"")*(Datos_Individuales!$G$296:$G$343-$M124)^2)/($L124-1)))</f>
        <v>0.764197758623849</v>
      </c>
      <c r="O124" s="97" t="n">
        <f aca="false">COUNTIFS(Datos_Individuales!$C$296:$C$343,"Rio Sabaletas - Antes desembocadura a Rio Cauca",Datos_Individuales!$I$296:$I$343,"&lt;&gt;")</f>
        <v>16</v>
      </c>
      <c r="P124" s="90" t="n">
        <f aca="false">IF($O124=0,"",AVERAGEIFS(Datos_Individuales!$I$296:$I$343,Datos_Individuales!$C$296:$C$343,"Rio Sabaletas - Antes desembocadura a Rio Cauca"))</f>
        <v>0.26984375</v>
      </c>
      <c r="Q124" s="90" t="n">
        <f aca="false">IF($O124&lt;2,"",SQRT(SUMPRODUCT((Datos_Individuales!$C$296:$C$343="Rio Sabaletas - Antes desembocadura a Rio Cauca")*(Datos_Individuales!$I$296:$I$343&lt;&gt;"")*(Datos_Individuales!$I$296:$I$343-$P124)^2)/($O124-1)))</f>
        <v>0.124510931079698</v>
      </c>
    </row>
    <row r="125" customFormat="false" ht="15" hidden="false" customHeight="true" outlineLevel="0" collapsed="false">
      <c r="A125" s="103" t="s">
        <v>273</v>
      </c>
      <c r="B125" s="104" t="n">
        <f aca="false">SUM(B122:B124)</f>
        <v>43.353</v>
      </c>
      <c r="C125" s="105" t="n">
        <f aca="false">SUM(C122:C124)</f>
        <v>2526.97</v>
      </c>
      <c r="D125" s="105" t="n">
        <f aca="false">D124</f>
        <v>2526.97</v>
      </c>
      <c r="E125" s="106" t="n">
        <f aca="false">E124</f>
        <v>7580.91</v>
      </c>
      <c r="F125" s="106" t="n">
        <f aca="false">F124</f>
        <v>12129.456</v>
      </c>
      <c r="G125" s="106" t="n">
        <f aca="false">G124</f>
        <v>25269.7</v>
      </c>
      <c r="H125" s="106" t="n">
        <f aca="false">H124</f>
        <v>252.697</v>
      </c>
      <c r="I125" s="106" t="n">
        <f aca="false">I124</f>
        <v>1516.182</v>
      </c>
      <c r="J125" s="106" t="n">
        <f aca="false">J124</f>
        <v>3790.455</v>
      </c>
      <c r="K125" s="107"/>
      <c r="L125" s="108"/>
      <c r="M125" s="109"/>
      <c r="N125" s="109"/>
      <c r="O125" s="108"/>
      <c r="P125" s="109"/>
      <c r="Q125" s="109"/>
    </row>
    <row r="126" customFormat="false" ht="13.5" hidden="false" customHeight="true" outlineLevel="0" collapsed="false">
      <c r="A126" s="110" t="s">
        <v>274</v>
      </c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</row>
    <row r="127" customFormat="false" ht="25.5" hidden="false" customHeight="true" outlineLevel="0" collapsed="false">
      <c r="A127" s="111" t="s">
        <v>35</v>
      </c>
      <c r="B127" s="112" t="s">
        <v>275</v>
      </c>
      <c r="C127" s="112" t="s">
        <v>276</v>
      </c>
      <c r="D127" s="112" t="s">
        <v>277</v>
      </c>
      <c r="E127" s="112" t="s">
        <v>278</v>
      </c>
      <c r="F127" s="111" t="s">
        <v>102</v>
      </c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</row>
    <row r="128" customFormat="false" ht="15" hidden="false" customHeight="false" outlineLevel="0" collapsed="false">
      <c r="A128" s="88" t="s">
        <v>279</v>
      </c>
      <c r="B128" s="97" t="n">
        <f aca="false">COUNT(Datos_Individuales!$G$296:$G$343)</f>
        <v>24</v>
      </c>
      <c r="C128" s="99" t="n">
        <f aca="false">IF($B128&lt;3,"",IFERROR(SLOPE(Datos_Individuales!$G$296:$G$343,Datos_Individuales!$F$296:$F$343),""))</f>
        <v>0.000119471829268724</v>
      </c>
      <c r="D128" s="90" t="n">
        <f aca="false">IF($B128&lt;3,"",IFERROR(RSQ(Datos_Individuales!$G$296:$G$343,Datos_Individuales!$F$296:$F$343),""))</f>
        <v>0.477060488934467</v>
      </c>
      <c r="E128" s="90" t="n">
        <f aca="false">IF($B128&lt;3,"",IFERROR(CORREL(Datos_Individuales!$G$296:$G$343,Datos_Individuales!$F$296:$F$343),""))</f>
        <v>0.690695655795276</v>
      </c>
      <c r="F128" s="100" t="str">
        <f aca="false">IF($B128&lt;3,"Datos insuficientes para regresar.",IF($D128="","Todas las mediciones provienen de una sola estación: el eje x no varía y la regresión no es estimable.",IF($C128&lt;0,"Pendiente negativa: la concentración baja al aumentar la caña aguas arriba. No hay señal atribuible a la caña.",IF($D128&lt;0.1,"La carga de caña explica menos del 10% de la variabilidad observada.",IF($D128&lt;0.3,"Asociación débil: la caña explica una fracción menor de la variabilidad.",IF($D128&lt;0.5,"Asociación moderada.","Asociación relativamente fuerte para dato observacional."))))))</f>
        <v>Asociación moderada.</v>
      </c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</row>
    <row r="129" customFormat="false" ht="15" hidden="false" customHeight="false" outlineLevel="0" collapsed="false">
      <c r="A129" s="88" t="s">
        <v>280</v>
      </c>
      <c r="B129" s="97" t="n">
        <f aca="false">COUNT(Datos_Individuales!$I$296:$I$343)</f>
        <v>48</v>
      </c>
      <c r="C129" s="99" t="n">
        <f aca="false">IF($B129&lt;3,"",IFERROR(SLOPE(Datos_Individuales!$I$296:$I$343,Datos_Individuales!$H$296:$H$343),""))</f>
        <v>0.000101372843502227</v>
      </c>
      <c r="D129" s="90" t="n">
        <f aca="false">IF($B129&lt;3,"",IFERROR(RSQ(Datos_Individuales!$I$296:$I$343,Datos_Individuales!$H$296:$H$343),""))</f>
        <v>0.323035981622207</v>
      </c>
      <c r="E129" s="90" t="n">
        <f aca="false">IF($B129&lt;3,"",IFERROR(CORREL(Datos_Individuales!$I$296:$I$343,Datos_Individuales!$H$296:$H$343),""))</f>
        <v>0.568362544175992</v>
      </c>
      <c r="F129" s="100" t="str">
        <f aca="false">IF($B129&lt;3,"Datos insuficientes para regresar.",IF($D129="","Todas las mediciones provienen de una sola estación: el eje x no varía y la regresión no es estimable.",IF($C129&lt;0,"Pendiente negativa: la concentración baja al aumentar la caña aguas arriba. No hay señal atribuible a la caña.",IF($D129&lt;0.1,"La carga de caña explica menos del 10% de la variabilidad observada.",IF($D129&lt;0.3,"Asociación débil: la caña explica una fracción menor de la variabilidad.",IF($D129&lt;0.5,"Asociación moderada.","Asociación relativamente fuerte para dato observacional."))))))</f>
        <v>Asociación moderada.</v>
      </c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</row>
    <row r="132" customFormat="false" ht="18.75" hidden="false" customHeight="true" outlineLevel="0" collapsed="false">
      <c r="A132" s="95" t="s">
        <v>312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</row>
    <row r="133" customFormat="false" ht="30" hidden="false" customHeight="true" outlineLevel="0" collapsed="false">
      <c r="A133" s="96" t="s">
        <v>254</v>
      </c>
      <c r="B133" s="86" t="s">
        <v>255</v>
      </c>
      <c r="C133" s="86" t="s">
        <v>256</v>
      </c>
      <c r="D133" s="86" t="s">
        <v>257</v>
      </c>
      <c r="E133" s="86" t="s">
        <v>258</v>
      </c>
      <c r="F133" s="86" t="s">
        <v>259</v>
      </c>
      <c r="G133" s="86" t="s">
        <v>260</v>
      </c>
      <c r="H133" s="86" t="s">
        <v>261</v>
      </c>
      <c r="I133" s="86" t="s">
        <v>262</v>
      </c>
      <c r="J133" s="86" t="s">
        <v>263</v>
      </c>
      <c r="K133" s="86"/>
      <c r="L133" s="86" t="s">
        <v>264</v>
      </c>
      <c r="M133" s="86" t="s">
        <v>265</v>
      </c>
      <c r="N133" s="86" t="s">
        <v>266</v>
      </c>
      <c r="O133" s="86" t="s">
        <v>267</v>
      </c>
      <c r="P133" s="86" t="s">
        <v>268</v>
      </c>
      <c r="Q133" s="86" t="s">
        <v>269</v>
      </c>
    </row>
    <row r="134" customFormat="false" ht="25.5" hidden="false" customHeight="true" outlineLevel="0" collapsed="false">
      <c r="A134" s="100" t="s">
        <v>313</v>
      </c>
      <c r="B134" s="101" t="n">
        <v>16.956</v>
      </c>
      <c r="C134" s="98" t="n">
        <v>0</v>
      </c>
      <c r="D134" s="98" t="n">
        <v>0</v>
      </c>
      <c r="E134" s="102" t="n">
        <f aca="false">$D134*Parametros!$B$22</f>
        <v>0</v>
      </c>
      <c r="F134" s="102" t="n">
        <f aca="false">$D134*Parametros!$C$22</f>
        <v>0</v>
      </c>
      <c r="G134" s="102" t="n">
        <f aca="false">$D134*Parametros!$D$22</f>
        <v>0</v>
      </c>
      <c r="H134" s="102" t="n">
        <f aca="false">$D134*Parametros!$B$23</f>
        <v>0</v>
      </c>
      <c r="I134" s="102" t="n">
        <f aca="false">$D134*Parametros!$C$23</f>
        <v>0</v>
      </c>
      <c r="J134" s="102" t="n">
        <f aca="false">$D134*Parametros!$D$23</f>
        <v>0</v>
      </c>
      <c r="K134" s="89"/>
      <c r="L134" s="97" t="n">
        <f aca="false">COUNTIFS(Datos_Individuales!$C$344:$C$400,"Rio Guadalajara - Bocatoma Acueducto Buga",Datos_Individuales!$G$344:$G$400,"&lt;&gt;")</f>
        <v>6</v>
      </c>
      <c r="M134" s="90" t="n">
        <f aca="false">IF($L134=0,"",AVERAGEIFS(Datos_Individuales!$G$344:$G$400,Datos_Individuales!$C$344:$C$400,"Rio Guadalajara - Bocatoma Acueducto Buga"))</f>
        <v>0.688333333333333</v>
      </c>
      <c r="N134" s="90" t="n">
        <f aca="false">IF($L134&lt;2,"",SQRT(SUMPRODUCT((Datos_Individuales!$C$344:$C$400="Rio Guadalajara - Bocatoma Acueducto Buga")*(Datos_Individuales!$G$344:$G$400&lt;&gt;"")*(Datos_Individuales!$G$344:$G$400-$M134)^2)/($L134-1)))</f>
        <v>0.22108520227882</v>
      </c>
      <c r="O134" s="97" t="n">
        <f aca="false">COUNTIFS(Datos_Individuales!$C$344:$C$400,"Rio Guadalajara - Bocatoma Acueducto Buga",Datos_Individuales!$I$344:$I$400,"&lt;&gt;")</f>
        <v>19</v>
      </c>
      <c r="P134" s="90" t="n">
        <f aca="false">IF($O134=0,"",AVERAGEIFS(Datos_Individuales!$I$344:$I$400,Datos_Individuales!$C$344:$C$400,"Rio Guadalajara - Bocatoma Acueducto Buga"))</f>
        <v>0.0816368421052632</v>
      </c>
      <c r="Q134" s="90" t="n">
        <f aca="false">IF($O134&lt;2,"",SQRT(SUMPRODUCT((Datos_Individuales!$C$344:$C$400="Rio Guadalajara - Bocatoma Acueducto Buga")*(Datos_Individuales!$I$344:$I$400&lt;&gt;"")*(Datos_Individuales!$I$344:$I$400-$P134)^2)/($O134-1)))</f>
        <v>0.0166879933726922</v>
      </c>
    </row>
    <row r="135" customFormat="false" ht="25.5" hidden="false" customHeight="true" outlineLevel="0" collapsed="false">
      <c r="A135" s="100" t="s">
        <v>314</v>
      </c>
      <c r="B135" s="101" t="n">
        <v>4.697</v>
      </c>
      <c r="C135" s="98" t="n">
        <v>0</v>
      </c>
      <c r="D135" s="98" t="n">
        <v>0</v>
      </c>
      <c r="E135" s="102" t="n">
        <f aca="false">$D135*Parametros!$B$22</f>
        <v>0</v>
      </c>
      <c r="F135" s="102" t="n">
        <f aca="false">$D135*Parametros!$C$22</f>
        <v>0</v>
      </c>
      <c r="G135" s="102" t="n">
        <f aca="false">$D135*Parametros!$D$22</f>
        <v>0</v>
      </c>
      <c r="H135" s="102" t="n">
        <f aca="false">$D135*Parametros!$B$23</f>
        <v>0</v>
      </c>
      <c r="I135" s="102" t="n">
        <f aca="false">$D135*Parametros!$C$23</f>
        <v>0</v>
      </c>
      <c r="J135" s="102" t="n">
        <f aca="false">$D135*Parametros!$D$23</f>
        <v>0</v>
      </c>
      <c r="K135" s="89"/>
      <c r="L135" s="97" t="n">
        <f aca="false">COUNTIFS(Datos_Individuales!$C$344:$C$400,"Rio Guadalajara - Puente Frente vía Ferrea",Datos_Individuales!$G$344:$G$400,"&lt;&gt;")</f>
        <v>6</v>
      </c>
      <c r="M135" s="90" t="n">
        <f aca="false">IF($L135=0,"",AVERAGEIFS(Datos_Individuales!$G$344:$G$400,Datos_Individuales!$C$344:$C$400,"Rio Guadalajara - Puente Frente vía Ferrea"))</f>
        <v>1.166</v>
      </c>
      <c r="N135" s="90" t="n">
        <f aca="false">IF($L135&lt;2,"",SQRT(SUMPRODUCT((Datos_Individuales!$C$344:$C$400="Rio Guadalajara - Puente Frente vía Ferrea")*(Datos_Individuales!$G$344:$G$400&lt;&gt;"")*(Datos_Individuales!$G$344:$G$400-$M135)^2)/($L135-1)))</f>
        <v>0.828783204463025</v>
      </c>
      <c r="O135" s="97" t="n">
        <f aca="false">COUNTIFS(Datos_Individuales!$C$344:$C$400,"Rio Guadalajara - Puente Frente vía Ferrea",Datos_Individuales!$I$344:$I$400,"&lt;&gt;")</f>
        <v>19</v>
      </c>
      <c r="P135" s="90" t="n">
        <f aca="false">IF($O135=0,"",AVERAGEIFS(Datos_Individuales!$I$344:$I$400,Datos_Individuales!$C$344:$C$400,"Rio Guadalajara - Puente Frente vía Ferrea"))</f>
        <v>0.284431578947368</v>
      </c>
      <c r="Q135" s="90" t="n">
        <f aca="false">IF($O135&lt;2,"",SQRT(SUMPRODUCT((Datos_Individuales!$C$344:$C$400="Rio Guadalajara - Puente Frente vía Ferrea")*(Datos_Individuales!$I$344:$I$400&lt;&gt;"")*(Datos_Individuales!$I$344:$I$400-$P135)^2)/($O135-1)))</f>
        <v>0.751196997429681</v>
      </c>
    </row>
    <row r="136" customFormat="false" ht="25.5" hidden="false" customHeight="true" outlineLevel="0" collapsed="false">
      <c r="A136" s="100" t="s">
        <v>315</v>
      </c>
      <c r="B136" s="101" t="n">
        <v>4.53</v>
      </c>
      <c r="C136" s="98" t="n">
        <v>266.9</v>
      </c>
      <c r="D136" s="98" t="n">
        <v>266.9</v>
      </c>
      <c r="E136" s="102" t="n">
        <f aca="false">$D136*Parametros!$B$22</f>
        <v>800.7</v>
      </c>
      <c r="F136" s="102" t="n">
        <f aca="false">$D136*Parametros!$C$22</f>
        <v>1281.12</v>
      </c>
      <c r="G136" s="102" t="n">
        <f aca="false">$D136*Parametros!$D$22</f>
        <v>2669</v>
      </c>
      <c r="H136" s="102" t="n">
        <f aca="false">$D136*Parametros!$B$23</f>
        <v>26.69</v>
      </c>
      <c r="I136" s="102" t="n">
        <f aca="false">$D136*Parametros!$C$23</f>
        <v>160.14</v>
      </c>
      <c r="J136" s="102" t="n">
        <f aca="false">$D136*Parametros!$D$23</f>
        <v>400.35</v>
      </c>
      <c r="K136" s="89"/>
      <c r="L136" s="97" t="n">
        <f aca="false">COUNTIFS(Datos_Individuales!$C$344:$C$400,"Rio Guadalajara - antes desembocadura a Rio Cauca (El Porvenir)",Datos_Individuales!$G$344:$G$400,"&lt;&gt;")</f>
        <v>6</v>
      </c>
      <c r="M136" s="90" t="n">
        <f aca="false">IF($L136=0,"",AVERAGEIFS(Datos_Individuales!$G$344:$G$400,Datos_Individuales!$C$344:$C$400,"Rio Guadalajara - antes desembocadura a Rio Cauca (El Porvenir)"))</f>
        <v>2.76416666666667</v>
      </c>
      <c r="N136" s="90" t="n">
        <f aca="false">IF($L136&lt;2,"",SQRT(SUMPRODUCT((Datos_Individuales!$C$344:$C$400="Rio Guadalajara - antes desembocadura a Rio Cauca (El Porvenir)")*(Datos_Individuales!$G$344:$G$400&lt;&gt;"")*(Datos_Individuales!$G$344:$G$400-$M136)^2)/($L136-1)))</f>
        <v>2.84471161397191</v>
      </c>
      <c r="O136" s="97" t="n">
        <f aca="false">COUNTIFS(Datos_Individuales!$C$344:$C$400,"Rio Guadalajara - antes desembocadura a Rio Cauca (El Porvenir)",Datos_Individuales!$I$344:$I$400,"&lt;&gt;")</f>
        <v>19</v>
      </c>
      <c r="P136" s="90" t="n">
        <f aca="false">IF($O136=0,"",AVERAGEIFS(Datos_Individuales!$I$344:$I$400,Datos_Individuales!$C$344:$C$400,"Rio Guadalajara - antes desembocadura a Rio Cauca (El Porvenir)"))</f>
        <v>0.1873</v>
      </c>
      <c r="Q136" s="90" t="n">
        <f aca="false">IF($O136&lt;2,"",SQRT(SUMPRODUCT((Datos_Individuales!$C$344:$C$400="Rio Guadalajara - antes desembocadura a Rio Cauca (El Porvenir)")*(Datos_Individuales!$I$344:$I$400&lt;&gt;"")*(Datos_Individuales!$I$344:$I$400-$P136)^2)/($O136-1)))</f>
        <v>0.252254886529038</v>
      </c>
    </row>
    <row r="137" customFormat="false" ht="15" hidden="false" customHeight="true" outlineLevel="0" collapsed="false">
      <c r="A137" s="103" t="s">
        <v>273</v>
      </c>
      <c r="B137" s="104" t="n">
        <f aca="false">SUM(B134:B136)</f>
        <v>26.183</v>
      </c>
      <c r="C137" s="105" t="n">
        <f aca="false">SUM(C134:C136)</f>
        <v>266.9</v>
      </c>
      <c r="D137" s="105" t="n">
        <f aca="false">D136</f>
        <v>266.9</v>
      </c>
      <c r="E137" s="106" t="n">
        <f aca="false">E136</f>
        <v>800.7</v>
      </c>
      <c r="F137" s="106" t="n">
        <f aca="false">F136</f>
        <v>1281.12</v>
      </c>
      <c r="G137" s="106" t="n">
        <f aca="false">G136</f>
        <v>2669</v>
      </c>
      <c r="H137" s="106" t="n">
        <f aca="false">H136</f>
        <v>26.69</v>
      </c>
      <c r="I137" s="106" t="n">
        <f aca="false">I136</f>
        <v>160.14</v>
      </c>
      <c r="J137" s="106" t="n">
        <f aca="false">J136</f>
        <v>400.35</v>
      </c>
      <c r="K137" s="107"/>
      <c r="L137" s="108"/>
      <c r="M137" s="109"/>
      <c r="N137" s="109"/>
      <c r="O137" s="108"/>
      <c r="P137" s="109"/>
      <c r="Q137" s="109"/>
    </row>
    <row r="138" customFormat="false" ht="13.5" hidden="false" customHeight="true" outlineLevel="0" collapsed="false">
      <c r="A138" s="110" t="s">
        <v>274</v>
      </c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</row>
    <row r="139" customFormat="false" ht="25.5" hidden="false" customHeight="true" outlineLevel="0" collapsed="false">
      <c r="A139" s="111" t="s">
        <v>35</v>
      </c>
      <c r="B139" s="112" t="s">
        <v>275</v>
      </c>
      <c r="C139" s="112" t="s">
        <v>276</v>
      </c>
      <c r="D139" s="112" t="s">
        <v>277</v>
      </c>
      <c r="E139" s="112" t="s">
        <v>278</v>
      </c>
      <c r="F139" s="111" t="s">
        <v>102</v>
      </c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</row>
    <row r="140" customFormat="false" ht="15" hidden="false" customHeight="false" outlineLevel="0" collapsed="false">
      <c r="A140" s="88" t="s">
        <v>279</v>
      </c>
      <c r="B140" s="97" t="n">
        <f aca="false">COUNT(Datos_Individuales!$G$344:$G$400)</f>
        <v>18</v>
      </c>
      <c r="C140" s="99" t="n">
        <f aca="false">IF($B140&lt;3,"",IFERROR(SLOPE(Datos_Individuales!$G$344:$G$400,Datos_Individuales!$F$344:$F$400),""))</f>
        <v>0.00143390158611215</v>
      </c>
      <c r="D140" s="90" t="n">
        <f aca="false">IF($B140&lt;3,"",IFERROR(RSQ(Datos_Individuales!$G$344:$G$400,Datos_Individuales!$F$344:$F$400),""))</f>
        <v>0.231438052807347</v>
      </c>
      <c r="E140" s="90" t="n">
        <f aca="false">IF($B140&lt;3,"",IFERROR(CORREL(Datos_Individuales!$G$344:$G$400,Datos_Individuales!$F$344:$F$400),""))</f>
        <v>0.481080089805582</v>
      </c>
      <c r="F140" s="100" t="str">
        <f aca="false">IF($B140&lt;3,"Datos insuficientes para regresar.",IF($D140="","Todas las mediciones provienen de una sola estación: el eje x no varía y la regresión no es estimable.",IF($C140&lt;0,"Pendiente negativa: la concentración baja al aumentar la caña aguas arriba. No hay señal atribuible a la caña.",IF($D140&lt;0.1,"La carga de caña explica menos del 10% de la variabilidad observada.",IF($D140&lt;0.3,"Asociación débil: la caña explica una fracción menor de la variabilidad.",IF($D140&lt;0.5,"Asociación moderada.","Asociación relativamente fuerte para dato observacional."))))))</f>
        <v>Asociación débil: la caña explica una fracción menor de la variabilidad.</v>
      </c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</row>
    <row r="141" customFormat="false" ht="15" hidden="false" customHeight="false" outlineLevel="0" collapsed="false">
      <c r="A141" s="88" t="s">
        <v>280</v>
      </c>
      <c r="B141" s="97" t="n">
        <f aca="false">COUNT(Datos_Individuales!$I$344:$I$400)</f>
        <v>57</v>
      </c>
      <c r="C141" s="99" t="n">
        <f aca="false">IF($B141&lt;3,"",IFERROR(SLOPE(Datos_Individuales!$I$344:$I$400,Datos_Individuales!$H$344:$H$400),""))</f>
        <v>2.6637876068966E-005</v>
      </c>
      <c r="D141" s="90" t="n">
        <f aca="false">IF($B141&lt;3,"",IFERROR(RSQ(Datos_Individuales!$I$344:$I$400,Datos_Individuales!$H$344:$H$400),""))</f>
        <v>1.97026558981958E-005</v>
      </c>
      <c r="E141" s="90" t="n">
        <f aca="false">IF($B141&lt;3,"",IFERROR(CORREL(Datos_Individuales!$I$344:$I$400,Datos_Individuales!$H$344:$H$400),""))</f>
        <v>0.00443876738500631</v>
      </c>
      <c r="F141" s="100" t="str">
        <f aca="false">IF($B141&lt;3,"Datos insuficientes para regresar.",IF($D141="","Todas las mediciones provienen de una sola estación: el eje x no varía y la regresión no es estimable.",IF($C141&lt;0,"Pendiente negativa: la concentración baja al aumentar la caña aguas arriba. No hay señal atribuible a la caña.",IF($D141&lt;0.1,"La carga de caña explica menos del 10% de la variabilidad observada.",IF($D141&lt;0.3,"Asociación débil: la caña explica una fracción menor de la variabilidad.",IF($D141&lt;0.5,"Asociación moderada.","Asociación relativamente fuerte para dato observacional."))))))</f>
        <v>La carga de caña explica menos del 10% de la variabilidad observada.</v>
      </c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</row>
    <row r="144" customFormat="false" ht="18.75" hidden="false" customHeight="true" outlineLevel="0" collapsed="false">
      <c r="A144" s="95" t="s">
        <v>316</v>
      </c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</row>
    <row r="145" customFormat="false" ht="30" hidden="false" customHeight="true" outlineLevel="0" collapsed="false">
      <c r="A145" s="96" t="s">
        <v>254</v>
      </c>
      <c r="B145" s="86" t="s">
        <v>255</v>
      </c>
      <c r="C145" s="86" t="s">
        <v>256</v>
      </c>
      <c r="D145" s="86" t="s">
        <v>257</v>
      </c>
      <c r="E145" s="86" t="s">
        <v>258</v>
      </c>
      <c r="F145" s="86" t="s">
        <v>259</v>
      </c>
      <c r="G145" s="86" t="s">
        <v>260</v>
      </c>
      <c r="H145" s="86" t="s">
        <v>261</v>
      </c>
      <c r="I145" s="86" t="s">
        <v>262</v>
      </c>
      <c r="J145" s="86" t="s">
        <v>263</v>
      </c>
      <c r="K145" s="86"/>
      <c r="L145" s="86" t="s">
        <v>264</v>
      </c>
      <c r="M145" s="86" t="s">
        <v>265</v>
      </c>
      <c r="N145" s="86" t="s">
        <v>266</v>
      </c>
      <c r="O145" s="86" t="s">
        <v>267</v>
      </c>
      <c r="P145" s="86" t="s">
        <v>268</v>
      </c>
      <c r="Q145" s="86" t="s">
        <v>269</v>
      </c>
    </row>
    <row r="146" customFormat="false" ht="25.5" hidden="false" customHeight="true" outlineLevel="0" collapsed="false">
      <c r="A146" s="100" t="s">
        <v>317</v>
      </c>
      <c r="B146" s="101" t="n">
        <v>25.622</v>
      </c>
      <c r="C146" s="98" t="n">
        <v>0</v>
      </c>
      <c r="D146" s="98" t="n">
        <v>0</v>
      </c>
      <c r="E146" s="102" t="n">
        <f aca="false">$D146*Parametros!$B$22</f>
        <v>0</v>
      </c>
      <c r="F146" s="102" t="n">
        <f aca="false">$D146*Parametros!$C$22</f>
        <v>0</v>
      </c>
      <c r="G146" s="102" t="n">
        <f aca="false">$D146*Parametros!$D$22</f>
        <v>0</v>
      </c>
      <c r="H146" s="102" t="n">
        <f aca="false">$D146*Parametros!$B$23</f>
        <v>0</v>
      </c>
      <c r="I146" s="102" t="n">
        <f aca="false">$D146*Parametros!$C$23</f>
        <v>0</v>
      </c>
      <c r="J146" s="102" t="n">
        <f aca="false">$D146*Parametros!$D$23</f>
        <v>0</v>
      </c>
      <c r="K146" s="89"/>
      <c r="L146" s="97" t="n">
        <f aca="false">COUNTIFS(Datos_Individuales!$C$401:$C$470,"Rio Riofrio - puente despues Salonica - limnigrafo CVC",Datos_Individuales!$G$401:$G$470,"&lt;&gt;")</f>
        <v>5</v>
      </c>
      <c r="M146" s="90" t="n">
        <f aca="false">IF($L146=0,"",AVERAGEIFS(Datos_Individuales!$G$401:$G$470,Datos_Individuales!$C$401:$C$470,"Rio Riofrio - puente despues Salonica - limnigrafo CVC"))</f>
        <v>0.8352</v>
      </c>
      <c r="N146" s="90" t="n">
        <f aca="false">IF($L146&lt;2,"",SQRT(SUMPRODUCT((Datos_Individuales!$C$401:$C$470="Rio Riofrio - puente despues Salonica - limnigrafo CVC")*(Datos_Individuales!$G$401:$G$470&lt;&gt;"")*(Datos_Individuales!$G$401:$G$470-$M146)^2)/($L146-1)))</f>
        <v>0.498966632150888</v>
      </c>
      <c r="O146" s="97" t="n">
        <f aca="false">COUNTIFS(Datos_Individuales!$C$401:$C$470,"Rio Riofrio - puente despues Salonica - limnigrafo CVC",Datos_Individuales!$I$401:$I$470,"&lt;&gt;")</f>
        <v>18</v>
      </c>
      <c r="P146" s="90" t="n">
        <f aca="false">IF($O146=0,"",AVERAGEIFS(Datos_Individuales!$I$401:$I$470,Datos_Individuales!$C$401:$C$470,"Rio Riofrio - puente despues Salonica - limnigrafo CVC"))</f>
        <v>0.0837888888888889</v>
      </c>
      <c r="Q146" s="90" t="n">
        <f aca="false">IF($O146&lt;2,"",SQRT(SUMPRODUCT((Datos_Individuales!$C$401:$C$470="Rio Riofrio - puente despues Salonica - limnigrafo CVC")*(Datos_Individuales!$I$401:$I$470&lt;&gt;"")*(Datos_Individuales!$I$401:$I$470-$P146)^2)/($O146-1)))</f>
        <v>0.0178607979825976</v>
      </c>
    </row>
    <row r="147" customFormat="false" ht="25.5" hidden="false" customHeight="true" outlineLevel="0" collapsed="false">
      <c r="A147" s="100" t="s">
        <v>318</v>
      </c>
      <c r="B147" s="101" t="n">
        <v>7.565</v>
      </c>
      <c r="C147" s="98" t="n">
        <v>0</v>
      </c>
      <c r="D147" s="98" t="n">
        <v>0</v>
      </c>
      <c r="E147" s="102" t="n">
        <f aca="false">$D147*Parametros!$B$22</f>
        <v>0</v>
      </c>
      <c r="F147" s="102" t="n">
        <f aca="false">$D147*Parametros!$C$22</f>
        <v>0</v>
      </c>
      <c r="G147" s="102" t="n">
        <f aca="false">$D147*Parametros!$D$22</f>
        <v>0</v>
      </c>
      <c r="H147" s="102" t="n">
        <f aca="false">$D147*Parametros!$B$23</f>
        <v>0</v>
      </c>
      <c r="I147" s="102" t="n">
        <f aca="false">$D147*Parametros!$C$23</f>
        <v>0</v>
      </c>
      <c r="J147" s="102" t="n">
        <f aca="false">$D147*Parametros!$D$23</f>
        <v>0</v>
      </c>
      <c r="K147" s="89"/>
      <c r="L147" s="97" t="n">
        <f aca="false">COUNTIFS(Datos_Individuales!$C$401:$C$470,"Rio Riofrio - Bocatoma Acueducto de Riofrio",Datos_Individuales!$G$401:$G$470,"&lt;&gt;")</f>
        <v>6</v>
      </c>
      <c r="M147" s="90" t="n">
        <f aca="false">IF($L147=0,"",AVERAGEIFS(Datos_Individuales!$G$401:$G$470,Datos_Individuales!$C$401:$C$470,"Rio Riofrio - Bocatoma Acueducto de Riofrio"))</f>
        <v>0.6695</v>
      </c>
      <c r="N147" s="90" t="n">
        <f aca="false">IF($L147&lt;2,"",SQRT(SUMPRODUCT((Datos_Individuales!$C$401:$C$470="Rio Riofrio - Bocatoma Acueducto de Riofrio")*(Datos_Individuales!$G$401:$G$470&lt;&gt;"")*(Datos_Individuales!$G$401:$G$470-$M147)^2)/($L147-1)))</f>
        <v>0.518466103038569</v>
      </c>
      <c r="O147" s="97" t="n">
        <f aca="false">COUNTIFS(Datos_Individuales!$C$401:$C$470,"Rio Riofrio - Bocatoma Acueducto de Riofrio",Datos_Individuales!$I$401:$I$470,"&lt;&gt;")</f>
        <v>18</v>
      </c>
      <c r="P147" s="90" t="n">
        <f aca="false">IF($O147=0,"",AVERAGEIFS(Datos_Individuales!$I$401:$I$470,Datos_Individuales!$C$401:$C$470,"Rio Riofrio - Bocatoma Acueducto de Riofrio"))</f>
        <v>0.100577777777778</v>
      </c>
      <c r="Q147" s="90" t="n">
        <f aca="false">IF($O147&lt;2,"",SQRT(SUMPRODUCT((Datos_Individuales!$C$401:$C$470="Rio Riofrio - Bocatoma Acueducto de Riofrio")*(Datos_Individuales!$I$401:$I$470&lt;&gt;"")*(Datos_Individuales!$I$401:$I$470-$P147)^2)/($O147-1)))</f>
        <v>0.0756012336932918</v>
      </c>
    </row>
    <row r="148" customFormat="false" ht="25.5" hidden="false" customHeight="true" outlineLevel="0" collapsed="false">
      <c r="A148" s="100" t="s">
        <v>319</v>
      </c>
      <c r="B148" s="101" t="n">
        <v>4.95</v>
      </c>
      <c r="C148" s="98" t="n">
        <v>119.01</v>
      </c>
      <c r="D148" s="98" t="n">
        <v>119.01</v>
      </c>
      <c r="E148" s="102" t="n">
        <f aca="false">$D148*Parametros!$B$22</f>
        <v>357.03</v>
      </c>
      <c r="F148" s="102" t="n">
        <f aca="false">$D148*Parametros!$C$22</f>
        <v>571.248</v>
      </c>
      <c r="G148" s="102" t="n">
        <f aca="false">$D148*Parametros!$D$22</f>
        <v>1190.1</v>
      </c>
      <c r="H148" s="102" t="n">
        <f aca="false">$D148*Parametros!$B$23</f>
        <v>11.901</v>
      </c>
      <c r="I148" s="102" t="n">
        <f aca="false">$D148*Parametros!$C$23</f>
        <v>71.406</v>
      </c>
      <c r="J148" s="102" t="n">
        <f aca="false">$D148*Parametros!$D$23</f>
        <v>178.515</v>
      </c>
      <c r="K148" s="89"/>
      <c r="L148" s="97" t="n">
        <f aca="false">COUNTIFS(Datos_Individuales!$C$401:$C$470,"Rio Riofrio - Antes Municipio Riofrio",Datos_Individuales!$G$401:$G$470,"&lt;&gt;")</f>
        <v>5</v>
      </c>
      <c r="M148" s="90" t="n">
        <f aca="false">IF($L148=0,"",AVERAGEIFS(Datos_Individuales!$G$401:$G$470,Datos_Individuales!$C$401:$C$470,"Rio Riofrio - Antes Municipio Riofrio"))</f>
        <v>0.9844</v>
      </c>
      <c r="N148" s="90" t="n">
        <f aca="false">IF($L148&lt;2,"",SQRT(SUMPRODUCT((Datos_Individuales!$C$401:$C$470="Rio Riofrio - Antes Municipio Riofrio")*(Datos_Individuales!$G$401:$G$470&lt;&gt;"")*(Datos_Individuales!$G$401:$G$470-$M148)^2)/($L148-1)))</f>
        <v>0.961655499646313</v>
      </c>
      <c r="O148" s="97" t="n">
        <f aca="false">COUNTIFS(Datos_Individuales!$C$401:$C$470,"Rio Riofrio - Antes Municipio Riofrio",Datos_Individuales!$I$401:$I$470,"&lt;&gt;")</f>
        <v>18</v>
      </c>
      <c r="P148" s="90" t="n">
        <f aca="false">IF($O148=0,"",AVERAGEIFS(Datos_Individuales!$I$401:$I$470,Datos_Individuales!$C$401:$C$470,"Rio Riofrio - Antes Municipio Riofrio"))</f>
        <v>0.0845277777777778</v>
      </c>
      <c r="Q148" s="90" t="n">
        <f aca="false">IF($O148&lt;2,"",SQRT(SUMPRODUCT((Datos_Individuales!$C$401:$C$470="Rio Riofrio - Antes Municipio Riofrio")*(Datos_Individuales!$I$401:$I$470&lt;&gt;"")*(Datos_Individuales!$I$401:$I$470-$P148)^2)/($O148-1)))</f>
        <v>0.0219444969801638</v>
      </c>
    </row>
    <row r="149" customFormat="false" ht="25.5" hidden="false" customHeight="true" outlineLevel="0" collapsed="false">
      <c r="A149" s="100" t="s">
        <v>320</v>
      </c>
      <c r="B149" s="101" t="n">
        <v>5.55</v>
      </c>
      <c r="C149" s="98" t="n">
        <v>385.76</v>
      </c>
      <c r="D149" s="98" t="n">
        <v>504.77</v>
      </c>
      <c r="E149" s="102" t="n">
        <f aca="false">$D149*Parametros!$B$22</f>
        <v>1514.31</v>
      </c>
      <c r="F149" s="102" t="n">
        <f aca="false">$D149*Parametros!$C$22</f>
        <v>2422.896</v>
      </c>
      <c r="G149" s="102" t="n">
        <f aca="false">$D149*Parametros!$D$22</f>
        <v>5047.7</v>
      </c>
      <c r="H149" s="102" t="n">
        <f aca="false">$D149*Parametros!$B$23</f>
        <v>50.477</v>
      </c>
      <c r="I149" s="102" t="n">
        <f aca="false">$D149*Parametros!$C$23</f>
        <v>302.862</v>
      </c>
      <c r="J149" s="102" t="n">
        <f aca="false">$D149*Parametros!$D$23</f>
        <v>757.155</v>
      </c>
      <c r="K149" s="89"/>
      <c r="L149" s="97" t="n">
        <f aca="false">COUNTIFS(Datos_Individuales!$C$401:$C$470,"Rio Riofrio - Antes desembocadura a Río Cauca",Datos_Individuales!$G$401:$G$470,"&lt;&gt;")</f>
        <v>5</v>
      </c>
      <c r="M149" s="90" t="n">
        <f aca="false">IF($L149=0,"",AVERAGEIFS(Datos_Individuales!$G$401:$G$470,Datos_Individuales!$C$401:$C$470,"Rio Riofrio - Antes desembocadura a Río Cauca"))</f>
        <v>0.9496</v>
      </c>
      <c r="N149" s="90" t="n">
        <f aca="false">IF($L149&lt;2,"",SQRT(SUMPRODUCT((Datos_Individuales!$C$401:$C$470="Rio Riofrio - Antes desembocadura a Río Cauca")*(Datos_Individuales!$G$401:$G$470&lt;&gt;"")*(Datos_Individuales!$G$401:$G$470-$M149)^2)/($L149-1)))</f>
        <v>0.553365430795962</v>
      </c>
      <c r="O149" s="97" t="n">
        <f aca="false">COUNTIFS(Datos_Individuales!$C$401:$C$470,"Rio Riofrio - Antes desembocadura a Río Cauca",Datos_Individuales!$I$401:$I$470,"&lt;&gt;")</f>
        <v>16</v>
      </c>
      <c r="P149" s="90" t="n">
        <f aca="false">IF($O149=0,"",AVERAGEIFS(Datos_Individuales!$I$401:$I$470,Datos_Individuales!$C$401:$C$470,"Rio Riofrio - Antes desembocadura a Río Cauca"))</f>
        <v>0.08465</v>
      </c>
      <c r="Q149" s="90" t="n">
        <f aca="false">IF($O149&lt;2,"",SQRT(SUMPRODUCT((Datos_Individuales!$C$401:$C$470="Rio Riofrio - Antes desembocadura a Río Cauca")*(Datos_Individuales!$I$401:$I$470&lt;&gt;"")*(Datos_Individuales!$I$401:$I$470-$P149)^2)/($O149-1)))</f>
        <v>0.0162413874612567</v>
      </c>
    </row>
    <row r="150" customFormat="false" ht="15" hidden="false" customHeight="true" outlineLevel="0" collapsed="false">
      <c r="A150" s="103" t="s">
        <v>273</v>
      </c>
      <c r="B150" s="104" t="n">
        <f aca="false">SUM(B146:B149)</f>
        <v>43.687</v>
      </c>
      <c r="C150" s="105" t="n">
        <f aca="false">SUM(C146:C149)</f>
        <v>504.77</v>
      </c>
      <c r="D150" s="105" t="n">
        <f aca="false">D149</f>
        <v>504.77</v>
      </c>
      <c r="E150" s="106" t="n">
        <f aca="false">E149</f>
        <v>1514.31</v>
      </c>
      <c r="F150" s="106" t="n">
        <f aca="false">F149</f>
        <v>2422.896</v>
      </c>
      <c r="G150" s="106" t="n">
        <f aca="false">G149</f>
        <v>5047.7</v>
      </c>
      <c r="H150" s="106" t="n">
        <f aca="false">H149</f>
        <v>50.477</v>
      </c>
      <c r="I150" s="106" t="n">
        <f aca="false">I149</f>
        <v>302.862</v>
      </c>
      <c r="J150" s="106" t="n">
        <f aca="false">J149</f>
        <v>757.155</v>
      </c>
      <c r="K150" s="107"/>
      <c r="L150" s="108"/>
      <c r="M150" s="109"/>
      <c r="N150" s="109"/>
      <c r="O150" s="108"/>
      <c r="P150" s="109"/>
      <c r="Q150" s="109"/>
    </row>
    <row r="151" customFormat="false" ht="13.5" hidden="false" customHeight="true" outlineLevel="0" collapsed="false">
      <c r="A151" s="110" t="s">
        <v>274</v>
      </c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</row>
    <row r="152" customFormat="false" ht="25.5" hidden="false" customHeight="true" outlineLevel="0" collapsed="false">
      <c r="A152" s="111" t="s">
        <v>35</v>
      </c>
      <c r="B152" s="112" t="s">
        <v>275</v>
      </c>
      <c r="C152" s="112" t="s">
        <v>276</v>
      </c>
      <c r="D152" s="112" t="s">
        <v>277</v>
      </c>
      <c r="E152" s="112" t="s">
        <v>278</v>
      </c>
      <c r="F152" s="111" t="s">
        <v>102</v>
      </c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</row>
    <row r="153" customFormat="false" ht="15" hidden="false" customHeight="false" outlineLevel="0" collapsed="false">
      <c r="A153" s="88" t="s">
        <v>279</v>
      </c>
      <c r="B153" s="97" t="n">
        <f aca="false">COUNT(Datos_Individuales!$G$401:$G$470)</f>
        <v>21</v>
      </c>
      <c r="C153" s="99" t="n">
        <f aca="false">IF($B153&lt;3,"",IFERROR(SLOPE(Datos_Individuales!$G$401:$G$470,Datos_Individuales!$F$401:$F$470),""))</f>
        <v>7.7849142125373E-005</v>
      </c>
      <c r="D153" s="90" t="n">
        <f aca="false">IF($B153&lt;3,"",IFERROR(RSQ(Datos_Individuales!$G$401:$G$470,Datos_Individuales!$F$401:$F$470),""))</f>
        <v>0.016196064347465</v>
      </c>
      <c r="E153" s="90" t="n">
        <f aca="false">IF($B153&lt;3,"",IFERROR(CORREL(Datos_Individuales!$G$401:$G$470,Datos_Individuales!$F$401:$F$470),""))</f>
        <v>0.127263758971142</v>
      </c>
      <c r="F153" s="100" t="str">
        <f aca="false">IF($B153&lt;3,"Datos insuficientes para regresar.",IF($D153="","Todas las mediciones provienen de una sola estación: el eje x no varía y la regresión no es estimable.",IF($C153&lt;0,"Pendiente negativa: la concentración baja al aumentar la caña aguas arriba. No hay señal atribuible a la caña.",IF($D153&lt;0.1,"La carga de caña explica menos del 10% de la variabilidad observada.",IF($D153&lt;0.3,"Asociación débil: la caña explica una fracción menor de la variabilidad.",IF($D153&lt;0.5,"Asociación moderada.","Asociación relativamente fuerte para dato observacional."))))))</f>
        <v>La carga de caña explica menos del 10% de la variabilidad observada.</v>
      </c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</row>
    <row r="154" customFormat="false" ht="15" hidden="false" customHeight="false" outlineLevel="0" collapsed="false">
      <c r="A154" s="88" t="s">
        <v>280</v>
      </c>
      <c r="B154" s="97" t="n">
        <f aca="false">COUNT(Datos_Individuales!$I$401:$I$470)</f>
        <v>70</v>
      </c>
      <c r="C154" s="99" t="n">
        <f aca="false">IF($B154&lt;3,"",IFERROR(SLOPE(Datos_Individuales!$I$401:$I$470,Datos_Individuales!$H$401:$H$470),""))</f>
        <v>-2.31988574640827E-005</v>
      </c>
      <c r="D154" s="90" t="n">
        <f aca="false">IF($B154&lt;3,"",IFERROR(RSQ(Datos_Individuales!$I$401:$I$470,Datos_Individuales!$H$401:$H$470),""))</f>
        <v>0.00465205325300852</v>
      </c>
      <c r="E154" s="90" t="n">
        <f aca="false">IF($B154&lt;3,"",IFERROR(CORREL(Datos_Individuales!$I$401:$I$470,Datos_Individuales!$H$401:$H$470),""))</f>
        <v>-0.0682059620048608</v>
      </c>
      <c r="F154" s="100" t="str">
        <f aca="false">IF($B154&lt;3,"Datos insuficientes para regresar.",IF($D154="","Todas las mediciones provienen de una sola estación: el eje x no varía y la regresión no es estimable.",IF($C154&lt;0,"Pendiente negativa: la concentración baja al aumentar la caña aguas arriba. No hay señal atribuible a la caña.",IF($D154&lt;0.1,"La carga de caña explica menos del 10% de la variabilidad observada.",IF($D154&lt;0.3,"Asociación débil: la caña explica una fracción menor de la variabilidad.",IF($D154&lt;0.5,"Asociación moderada.","Asociación relativamente fuerte para dato observacional."))))))</f>
        <v>Pendiente negativa: la concentración baja al aumentar la caña aguas arriba. No hay señal atribuible a la caña.</v>
      </c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</row>
    <row r="157" customFormat="false" ht="18.75" hidden="false" customHeight="true" outlineLevel="0" collapsed="false">
      <c r="A157" s="95" t="s">
        <v>321</v>
      </c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</row>
    <row r="158" customFormat="false" ht="30" hidden="false" customHeight="true" outlineLevel="0" collapsed="false">
      <c r="A158" s="96" t="s">
        <v>254</v>
      </c>
      <c r="B158" s="86" t="s">
        <v>255</v>
      </c>
      <c r="C158" s="86" t="s">
        <v>256</v>
      </c>
      <c r="D158" s="86" t="s">
        <v>257</v>
      </c>
      <c r="E158" s="86" t="s">
        <v>258</v>
      </c>
      <c r="F158" s="86" t="s">
        <v>259</v>
      </c>
      <c r="G158" s="86" t="s">
        <v>260</v>
      </c>
      <c r="H158" s="86" t="s">
        <v>261</v>
      </c>
      <c r="I158" s="86" t="s">
        <v>262</v>
      </c>
      <c r="J158" s="86" t="s">
        <v>263</v>
      </c>
      <c r="K158" s="86"/>
      <c r="L158" s="86" t="s">
        <v>264</v>
      </c>
      <c r="M158" s="86" t="s">
        <v>265</v>
      </c>
      <c r="N158" s="86" t="s">
        <v>266</v>
      </c>
      <c r="O158" s="86" t="s">
        <v>267</v>
      </c>
      <c r="P158" s="86" t="s">
        <v>268</v>
      </c>
      <c r="Q158" s="86" t="s">
        <v>269</v>
      </c>
    </row>
    <row r="159" customFormat="false" ht="25.5" hidden="false" customHeight="true" outlineLevel="0" collapsed="false">
      <c r="A159" s="100" t="s">
        <v>322</v>
      </c>
      <c r="B159" s="101" t="n">
        <v>61.522</v>
      </c>
      <c r="C159" s="98" t="n">
        <v>60.19</v>
      </c>
      <c r="D159" s="98" t="n">
        <v>60.19</v>
      </c>
      <c r="E159" s="102" t="n">
        <f aca="false">$D159*Parametros!$B$22</f>
        <v>180.57</v>
      </c>
      <c r="F159" s="102" t="n">
        <f aca="false">$D159*Parametros!$C$22</f>
        <v>288.912</v>
      </c>
      <c r="G159" s="102" t="n">
        <f aca="false">$D159*Parametros!$D$22</f>
        <v>601.9</v>
      </c>
      <c r="H159" s="102" t="n">
        <f aca="false">$D159*Parametros!$B$23</f>
        <v>6.019</v>
      </c>
      <c r="I159" s="102" t="n">
        <f aca="false">$D159*Parametros!$C$23</f>
        <v>36.114</v>
      </c>
      <c r="J159" s="102" t="n">
        <f aca="false">$D159*Parametros!$D$23</f>
        <v>90.285</v>
      </c>
      <c r="K159" s="89"/>
      <c r="L159" s="97" t="n">
        <f aca="false">COUNTIFS(Datos_Individuales!$C$471:$C$540,"Rio Tulua - Puente Ferrocarril Barrio La Trinidad",Datos_Individuales!$G$471:$G$540,"&lt;&gt;")</f>
        <v>9</v>
      </c>
      <c r="M159" s="90" t="n">
        <f aca="false">IF($L159=0,"",AVERAGEIFS(Datos_Individuales!$G$471:$G$540,Datos_Individuales!$C$471:$C$540,"Rio Tulua - Puente Ferrocarril Barrio La Trinidad"))</f>
        <v>1.07422222222222</v>
      </c>
      <c r="N159" s="90" t="n">
        <f aca="false">IF($L159&lt;2,"",SQRT(SUMPRODUCT((Datos_Individuales!$C$471:$C$540="Rio Tulua - Puente Ferrocarril Barrio La Trinidad")*(Datos_Individuales!$G$471:$G$540&lt;&gt;"")*(Datos_Individuales!$G$471:$G$540-$M159)^2)/($L159-1)))</f>
        <v>0.880826426967563</v>
      </c>
      <c r="O159" s="97" t="n">
        <f aca="false">COUNTIFS(Datos_Individuales!$C$471:$C$540,"Rio Tulua - Puente Ferrocarril Barrio La Trinidad",Datos_Individuales!$I$471:$I$540,"&lt;&gt;")</f>
        <v>19</v>
      </c>
      <c r="P159" s="90" t="n">
        <f aca="false">IF($O159=0,"",AVERAGEIFS(Datos_Individuales!$I$471:$I$540,Datos_Individuales!$C$471:$C$540,"Rio Tulua - Puente Ferrocarril Barrio La Trinidad"))</f>
        <v>0.111326315789474</v>
      </c>
      <c r="Q159" s="90" t="n">
        <f aca="false">IF($O159&lt;2,"",SQRT(SUMPRODUCT((Datos_Individuales!$C$471:$C$540="Rio Tulua - Puente Ferrocarril Barrio La Trinidad")*(Datos_Individuales!$I$471:$I$540&lt;&gt;"")*(Datos_Individuales!$I$471:$I$540-$P159)^2)/($O159-1)))</f>
        <v>0.0678726163248745</v>
      </c>
    </row>
    <row r="160" customFormat="false" ht="25.5" hidden="false" customHeight="true" outlineLevel="0" collapsed="false">
      <c r="A160" s="100" t="s">
        <v>323</v>
      </c>
      <c r="B160" s="101" t="n">
        <v>1.196</v>
      </c>
      <c r="C160" s="98" t="n">
        <v>0.1</v>
      </c>
      <c r="D160" s="98" t="n">
        <v>60.29</v>
      </c>
      <c r="E160" s="102" t="n">
        <f aca="false">$D160*Parametros!$B$22</f>
        <v>180.87</v>
      </c>
      <c r="F160" s="102" t="n">
        <f aca="false">$D160*Parametros!$C$22</f>
        <v>289.392</v>
      </c>
      <c r="G160" s="102" t="n">
        <f aca="false">$D160*Parametros!$D$22</f>
        <v>602.9</v>
      </c>
      <c r="H160" s="102" t="n">
        <f aca="false">$D160*Parametros!$B$23</f>
        <v>6.029</v>
      </c>
      <c r="I160" s="102" t="n">
        <f aca="false">$D160*Parametros!$C$23</f>
        <v>36.174</v>
      </c>
      <c r="J160" s="102" t="n">
        <f aca="false">$D160*Parametros!$D$23</f>
        <v>90.435</v>
      </c>
      <c r="K160" s="89"/>
      <c r="L160" s="97" t="n">
        <f aca="false">COUNTIFS(Datos_Individuales!$C$471:$C$540,"Rio Tulua - Puente Nuevo (Barrio 7 de Agosto)",Datos_Individuales!$G$471:$G$540,"&lt;&gt;")</f>
        <v>9</v>
      </c>
      <c r="M160" s="90" t="n">
        <f aca="false">IF($L160=0,"",AVERAGEIFS(Datos_Individuales!$G$471:$G$540,Datos_Individuales!$C$471:$C$540,"Rio Tulua - Puente Nuevo (Barrio 7 de Agosto)"))</f>
        <v>1.163</v>
      </c>
      <c r="N160" s="90" t="n">
        <f aca="false">IF($L160&lt;2,"",SQRT(SUMPRODUCT((Datos_Individuales!$C$471:$C$540="Rio Tulua - Puente Nuevo (Barrio 7 de Agosto)")*(Datos_Individuales!$G$471:$G$540&lt;&gt;"")*(Datos_Individuales!$G$471:$G$540-$M160)^2)/($L160-1)))</f>
        <v>1.04048137897802</v>
      </c>
      <c r="O160" s="97" t="n">
        <f aca="false">COUNTIFS(Datos_Individuales!$C$471:$C$540,"Rio Tulua - Puente Nuevo (Barrio 7 de Agosto)",Datos_Individuales!$I$471:$I$540,"&lt;&gt;")</f>
        <v>19</v>
      </c>
      <c r="P160" s="90" t="n">
        <f aca="false">IF($O160=0,"",AVERAGEIFS(Datos_Individuales!$I$471:$I$540,Datos_Individuales!$C$471:$C$540,"Rio Tulua - Puente Nuevo (Barrio 7 de Agosto)"))</f>
        <v>0.210773684210526</v>
      </c>
      <c r="Q160" s="90" t="n">
        <f aca="false">IF($O160&lt;2,"",SQRT(SUMPRODUCT((Datos_Individuales!$C$471:$C$540="Rio Tulua - Puente Nuevo (Barrio 7 de Agosto)")*(Datos_Individuales!$I$471:$I$540&lt;&gt;"")*(Datos_Individuales!$I$471:$I$540-$P160)^2)/($O160-1)))</f>
        <v>0.347314933681083</v>
      </c>
    </row>
    <row r="161" customFormat="false" ht="25.5" hidden="false" customHeight="true" outlineLevel="0" collapsed="false">
      <c r="A161" s="100" t="s">
        <v>324</v>
      </c>
      <c r="B161" s="101" t="n">
        <v>1.283</v>
      </c>
      <c r="C161" s="98" t="n">
        <v>0.01</v>
      </c>
      <c r="D161" s="98" t="n">
        <v>60.3</v>
      </c>
      <c r="E161" s="102" t="n">
        <f aca="false">$D161*Parametros!$B$22</f>
        <v>180.9</v>
      </c>
      <c r="F161" s="102" t="n">
        <f aca="false">$D161*Parametros!$C$22</f>
        <v>289.44</v>
      </c>
      <c r="G161" s="102" t="n">
        <f aca="false">$D161*Parametros!$D$22</f>
        <v>603</v>
      </c>
      <c r="H161" s="102" t="n">
        <f aca="false">$D161*Parametros!$B$23</f>
        <v>6.03</v>
      </c>
      <c r="I161" s="102" t="n">
        <f aca="false">$D161*Parametros!$C$23</f>
        <v>36.18</v>
      </c>
      <c r="J161" s="102" t="n">
        <f aca="false">$D161*Parametros!$D$23</f>
        <v>90.45</v>
      </c>
      <c r="K161" s="89"/>
      <c r="L161" s="97" t="n">
        <f aca="false">COUNTIFS(Datos_Individuales!$C$471:$C$540,"Rio Tulua - Despues Urbanizacion Maracaibo",Datos_Individuales!$G$471:$G$540,"&lt;&gt;")</f>
        <v>9</v>
      </c>
      <c r="M161" s="90" t="n">
        <f aca="false">IF($L161=0,"",AVERAGEIFS(Datos_Individuales!$G$471:$G$540,Datos_Individuales!$C$471:$C$540,"Rio Tulua - Despues Urbanizacion Maracaibo"))</f>
        <v>2.42633333333333</v>
      </c>
      <c r="N161" s="90" t="n">
        <f aca="false">IF($L161&lt;2,"",SQRT(SUMPRODUCT((Datos_Individuales!$C$471:$C$540="Rio Tulua - Despues Urbanizacion Maracaibo")*(Datos_Individuales!$G$471:$G$540&lt;&gt;"")*(Datos_Individuales!$G$471:$G$540-$M161)^2)/($L161-1)))</f>
        <v>3.23017097070728</v>
      </c>
      <c r="O161" s="97" t="n">
        <f aca="false">COUNTIFS(Datos_Individuales!$C$471:$C$540,"Rio Tulua - Despues Urbanizacion Maracaibo",Datos_Individuales!$I$471:$I$540,"&lt;&gt;")</f>
        <v>19</v>
      </c>
      <c r="P161" s="90" t="n">
        <f aca="false">IF($O161=0,"",AVERAGEIFS(Datos_Individuales!$I$471:$I$540,Datos_Individuales!$C$471:$C$540,"Rio Tulua - Despues Urbanizacion Maracaibo"))</f>
        <v>0.146194736842105</v>
      </c>
      <c r="Q161" s="90" t="n">
        <f aca="false">IF($O161&lt;2,"",SQRT(SUMPRODUCT((Datos_Individuales!$C$471:$C$540="Rio Tulua - Despues Urbanizacion Maracaibo")*(Datos_Individuales!$I$471:$I$540&lt;&gt;"")*(Datos_Individuales!$I$471:$I$540-$P161)^2)/($O161-1)))</f>
        <v>0.147778698937462</v>
      </c>
    </row>
    <row r="162" customFormat="false" ht="25.5" hidden="false" customHeight="true" outlineLevel="0" collapsed="false">
      <c r="A162" s="100" t="s">
        <v>325</v>
      </c>
      <c r="B162" s="101" t="n">
        <v>9.356</v>
      </c>
      <c r="C162" s="98" t="n">
        <v>571</v>
      </c>
      <c r="D162" s="98" t="n">
        <v>631.3</v>
      </c>
      <c r="E162" s="102" t="n">
        <f aca="false">$D162*Parametros!$B$22</f>
        <v>1893.9</v>
      </c>
      <c r="F162" s="102" t="n">
        <f aca="false">$D162*Parametros!$C$22</f>
        <v>3030.24</v>
      </c>
      <c r="G162" s="102" t="n">
        <f aca="false">$D162*Parametros!$D$22</f>
        <v>6313</v>
      </c>
      <c r="H162" s="102" t="n">
        <f aca="false">$D162*Parametros!$B$23</f>
        <v>63.13</v>
      </c>
      <c r="I162" s="102" t="n">
        <f aca="false">$D162*Parametros!$C$23</f>
        <v>378.78</v>
      </c>
      <c r="J162" s="102" t="n">
        <f aca="false">$D162*Parametros!$D$23</f>
        <v>946.95</v>
      </c>
      <c r="K162" s="89"/>
      <c r="L162" s="97" t="n">
        <f aca="false">COUNTIFS(Datos_Individuales!$C$471:$C$540,"Rio Tulua - antes desembocadura a Río Cauca (vereda El Salto)",Datos_Individuales!$G$471:$G$540,"&lt;&gt;")</f>
        <v>5</v>
      </c>
      <c r="M162" s="90" t="n">
        <f aca="false">IF($L162=0,"",AVERAGEIFS(Datos_Individuales!$G$471:$G$540,Datos_Individuales!$C$471:$C$540,"Rio Tulua - antes desembocadura a Río Cauca (vereda El Salto)"))</f>
        <v>5.31</v>
      </c>
      <c r="N162" s="90" t="n">
        <f aca="false">IF($L162&lt;2,"",SQRT(SUMPRODUCT((Datos_Individuales!$C$471:$C$540="Rio Tulua - antes desembocadura a Río Cauca (vereda El Salto)")*(Datos_Individuales!$G$471:$G$540&lt;&gt;"")*(Datos_Individuales!$G$471:$G$540-$M162)^2)/($L162-1)))</f>
        <v>1.88398513794563</v>
      </c>
      <c r="O162" s="97" t="n">
        <f aca="false">COUNTIFS(Datos_Individuales!$C$471:$C$540,"Rio Tulua - antes desembocadura a Río Cauca (vereda El Salto)",Datos_Individuales!$I$471:$I$540,"&lt;&gt;")</f>
        <v>13</v>
      </c>
      <c r="P162" s="90" t="n">
        <f aca="false">IF($O162=0,"",AVERAGEIFS(Datos_Individuales!$I$471:$I$540,Datos_Individuales!$C$471:$C$540,"Rio Tulua - antes desembocadura a Río Cauca (vereda El Salto)"))</f>
        <v>0.802707692307692</v>
      </c>
      <c r="Q162" s="90" t="n">
        <f aca="false">IF($O162&lt;2,"",SQRT(SUMPRODUCT((Datos_Individuales!$C$471:$C$540="Rio Tulua - antes desembocadura a Río Cauca (vereda El Salto)")*(Datos_Individuales!$I$471:$I$540&lt;&gt;"")*(Datos_Individuales!$I$471:$I$540-$P162)^2)/($O162-1)))</f>
        <v>0.999539982910087</v>
      </c>
    </row>
    <row r="163" customFormat="false" ht="15" hidden="false" customHeight="true" outlineLevel="0" collapsed="false">
      <c r="A163" s="103" t="s">
        <v>273</v>
      </c>
      <c r="B163" s="104" t="n">
        <f aca="false">SUM(B159:B162)</f>
        <v>73.357</v>
      </c>
      <c r="C163" s="105" t="n">
        <f aca="false">SUM(C159:C162)</f>
        <v>631.3</v>
      </c>
      <c r="D163" s="105" t="n">
        <f aca="false">D162</f>
        <v>631.3</v>
      </c>
      <c r="E163" s="106" t="n">
        <f aca="false">E162</f>
        <v>1893.9</v>
      </c>
      <c r="F163" s="106" t="n">
        <f aca="false">F162</f>
        <v>3030.24</v>
      </c>
      <c r="G163" s="106" t="n">
        <f aca="false">G162</f>
        <v>6313</v>
      </c>
      <c r="H163" s="106" t="n">
        <f aca="false">H162</f>
        <v>63.13</v>
      </c>
      <c r="I163" s="106" t="n">
        <f aca="false">I162</f>
        <v>378.78</v>
      </c>
      <c r="J163" s="106" t="n">
        <f aca="false">J162</f>
        <v>946.95</v>
      </c>
      <c r="K163" s="107"/>
      <c r="L163" s="108"/>
      <c r="M163" s="109"/>
      <c r="N163" s="109"/>
      <c r="O163" s="108"/>
      <c r="P163" s="109"/>
      <c r="Q163" s="109"/>
    </row>
    <row r="164" customFormat="false" ht="13.5" hidden="false" customHeight="true" outlineLevel="0" collapsed="false">
      <c r="A164" s="110" t="s">
        <v>274</v>
      </c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</row>
    <row r="165" customFormat="false" ht="25.5" hidden="false" customHeight="true" outlineLevel="0" collapsed="false">
      <c r="A165" s="111" t="s">
        <v>35</v>
      </c>
      <c r="B165" s="112" t="s">
        <v>275</v>
      </c>
      <c r="C165" s="112" t="s">
        <v>276</v>
      </c>
      <c r="D165" s="112" t="s">
        <v>277</v>
      </c>
      <c r="E165" s="112" t="s">
        <v>278</v>
      </c>
      <c r="F165" s="111" t="s">
        <v>102</v>
      </c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</row>
    <row r="166" customFormat="false" ht="15" hidden="false" customHeight="false" outlineLevel="0" collapsed="false">
      <c r="A166" s="88" t="s">
        <v>279</v>
      </c>
      <c r="B166" s="97" t="n">
        <f aca="false">COUNT(Datos_Individuales!$G$471:$G$540)</f>
        <v>32</v>
      </c>
      <c r="C166" s="99" t="n">
        <f aca="false">IF($B166&lt;3,"",IFERROR(SLOPE(Datos_Individuales!$G$471:$G$540,Datos_Individuales!$F$471:$F$540),""))</f>
        <v>0.00137019491563315</v>
      </c>
      <c r="D166" s="90" t="n">
        <f aca="false">IF($B166&lt;3,"",IFERROR(RSQ(Datos_Individuales!$G$471:$G$540,Datos_Individuales!$F$471:$F$540),""))</f>
        <v>0.326360821821419</v>
      </c>
      <c r="E166" s="90" t="n">
        <f aca="false">IF($B166&lt;3,"",IFERROR(CORREL(Datos_Individuales!$G$471:$G$540,Datos_Individuales!$F$471:$F$540),""))</f>
        <v>0.571279985489969</v>
      </c>
      <c r="F166" s="100" t="str">
        <f aca="false">IF($B166&lt;3,"Datos insuficientes para regresar.",IF($D166="","Todas las mediciones provienen de una sola estación: el eje x no varía y la regresión no es estimable.",IF($C166&lt;0,"Pendiente negativa: la concentración baja al aumentar la caña aguas arriba. No hay señal atribuible a la caña.",IF($D166&lt;0.1,"La carga de caña explica menos del 10% de la variabilidad observada.",IF($D166&lt;0.3,"Asociación débil: la caña explica una fracción menor de la variabilidad.",IF($D166&lt;0.5,"Asociación moderada.","Asociación relativamente fuerte para dato observacional."))))))</f>
        <v>Asociación moderada.</v>
      </c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</row>
    <row r="167" customFormat="false" ht="15" hidden="false" customHeight="false" outlineLevel="0" collapsed="false">
      <c r="A167" s="88" t="s">
        <v>280</v>
      </c>
      <c r="B167" s="97" t="n">
        <f aca="false">COUNT(Datos_Individuales!$I$471:$I$540)</f>
        <v>70</v>
      </c>
      <c r="C167" s="99" t="n">
        <f aca="false">IF($B167&lt;3,"",IFERROR(SLOPE(Datos_Individuales!$I$471:$I$540,Datos_Individuales!$H$471:$H$540),""))</f>
        <v>0.00188726762170627</v>
      </c>
      <c r="D167" s="90" t="n">
        <f aca="false">IF($B167&lt;3,"",IFERROR(RSQ(Datos_Individuales!$I$471:$I$540,Datos_Individuales!$H$471:$H$540),""))</f>
        <v>0.231020772091483</v>
      </c>
      <c r="E167" s="90" t="n">
        <f aca="false">IF($B167&lt;3,"",IFERROR(CORREL(Datos_Individuales!$I$471:$I$540,Datos_Individuales!$H$471:$H$540),""))</f>
        <v>0.480646202618394</v>
      </c>
      <c r="F167" s="100" t="str">
        <f aca="false">IF($B167&lt;3,"Datos insuficientes para regresar.",IF($D167="","Todas las mediciones provienen de una sola estación: el eje x no varía y la regresión no es estimable.",IF($C167&lt;0,"Pendiente negativa: la concentración baja al aumentar la caña aguas arriba. No hay señal atribuible a la caña.",IF($D167&lt;0.1,"La carga de caña explica menos del 10% de la variabilidad observada.",IF($D167&lt;0.3,"Asociación débil: la caña explica una fracción menor de la variabilidad.",IF($D167&lt;0.5,"Asociación moderada.","Asociación relativamente fuerte para dato observacional."))))))</f>
        <v>Asociación débil: la caña explica una fracción menor de la variabilidad.</v>
      </c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</row>
    <row r="170" customFormat="false" ht="18.75" hidden="false" customHeight="true" outlineLevel="0" collapsed="false">
      <c r="A170" s="95" t="s">
        <v>326</v>
      </c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</row>
    <row r="171" customFormat="false" ht="30" hidden="false" customHeight="true" outlineLevel="0" collapsed="false">
      <c r="A171" s="96" t="s">
        <v>254</v>
      </c>
      <c r="B171" s="86" t="s">
        <v>255</v>
      </c>
      <c r="C171" s="86" t="s">
        <v>256</v>
      </c>
      <c r="D171" s="86" t="s">
        <v>257</v>
      </c>
      <c r="E171" s="86" t="s">
        <v>258</v>
      </c>
      <c r="F171" s="86" t="s">
        <v>259</v>
      </c>
      <c r="G171" s="86" t="s">
        <v>260</v>
      </c>
      <c r="H171" s="86" t="s">
        <v>261</v>
      </c>
      <c r="I171" s="86" t="s">
        <v>262</v>
      </c>
      <c r="J171" s="86" t="s">
        <v>263</v>
      </c>
      <c r="K171" s="86"/>
      <c r="L171" s="86" t="s">
        <v>264</v>
      </c>
      <c r="M171" s="86" t="s">
        <v>265</v>
      </c>
      <c r="N171" s="86" t="s">
        <v>266</v>
      </c>
      <c r="O171" s="86" t="s">
        <v>267</v>
      </c>
      <c r="P171" s="86" t="s">
        <v>268</v>
      </c>
      <c r="Q171" s="86" t="s">
        <v>269</v>
      </c>
    </row>
    <row r="172" customFormat="false" ht="25.5" hidden="false" customHeight="true" outlineLevel="0" collapsed="false">
      <c r="A172" s="100" t="s">
        <v>327</v>
      </c>
      <c r="B172" s="101" t="n">
        <v>81.61</v>
      </c>
      <c r="C172" s="98" t="n">
        <v>80.47</v>
      </c>
      <c r="D172" s="98" t="n">
        <v>80.47</v>
      </c>
      <c r="E172" s="102" t="n">
        <f aca="false">$D172*Parametros!$B$22</f>
        <v>241.41</v>
      </c>
      <c r="F172" s="102" t="n">
        <f aca="false">$D172*Parametros!$C$22</f>
        <v>386.256</v>
      </c>
      <c r="G172" s="102" t="n">
        <f aca="false">$D172*Parametros!$D$22</f>
        <v>804.7</v>
      </c>
      <c r="H172" s="102" t="n">
        <f aca="false">$D172*Parametros!$B$23</f>
        <v>8.047</v>
      </c>
      <c r="I172" s="102" t="n">
        <f aca="false">$D172*Parametros!$C$23</f>
        <v>48.282</v>
      </c>
      <c r="J172" s="102" t="n">
        <f aca="false">$D172*Parametros!$D$23</f>
        <v>120.705</v>
      </c>
      <c r="K172" s="89"/>
      <c r="L172" s="97" t="n">
        <f aca="false">COUNTIFS(Datos_Individuales!$C$541:$C$594,"Rio Bugalagrande - Conciviles - Andalucía",Datos_Individuales!$G$541:$G$594,"&lt;&gt;")</f>
        <v>7</v>
      </c>
      <c r="M172" s="90" t="n">
        <f aca="false">IF($L172=0,"",AVERAGEIFS(Datos_Individuales!$G$541:$G$594,Datos_Individuales!$C$541:$C$594,"Rio Bugalagrande - Conciviles - Andalucía"))</f>
        <v>1.78728571428571</v>
      </c>
      <c r="N172" s="90" t="n">
        <f aca="false">IF($L172&lt;2,"",SQRT(SUMPRODUCT((Datos_Individuales!$C$541:$C$594="Rio Bugalagrande - Conciviles - Andalucía")*(Datos_Individuales!$G$541:$G$594&lt;&gt;"")*(Datos_Individuales!$G$541:$G$594-$M172)^2)/($L172-1)))</f>
        <v>2.24817079083461</v>
      </c>
      <c r="O172" s="97" t="n">
        <f aca="false">COUNTIFS(Datos_Individuales!$C$541:$C$594,"Rio Bugalagrande - Conciviles - Andalucía",Datos_Individuales!$I$541:$I$594,"&lt;&gt;")</f>
        <v>18</v>
      </c>
      <c r="P172" s="90" t="n">
        <f aca="false">IF($O172=0,"",AVERAGEIFS(Datos_Individuales!$I$541:$I$594,Datos_Individuales!$C$541:$C$594,"Rio Bugalagrande - Conciviles - Andalucía"))</f>
        <v>0.106333333333333</v>
      </c>
      <c r="Q172" s="90" t="n">
        <f aca="false">IF($O172&lt;2,"",SQRT(SUMPRODUCT((Datos_Individuales!$C$541:$C$594="Rio Bugalagrande - Conciviles - Andalucía")*(Datos_Individuales!$I$541:$I$594&lt;&gt;"")*(Datos_Individuales!$I$541:$I$594-$P172)^2)/($O172-1)))</f>
        <v>0.0473716470177729</v>
      </c>
    </row>
    <row r="173" customFormat="false" ht="25.5" hidden="false" customHeight="true" outlineLevel="0" collapsed="false">
      <c r="A173" s="100" t="s">
        <v>328</v>
      </c>
      <c r="B173" s="101" t="n">
        <v>3.52</v>
      </c>
      <c r="C173" s="98" t="n">
        <v>33.39</v>
      </c>
      <c r="D173" s="98" t="n">
        <v>113.86</v>
      </c>
      <c r="E173" s="102" t="n">
        <f aca="false">$D173*Parametros!$B$22</f>
        <v>341.58</v>
      </c>
      <c r="F173" s="102" t="n">
        <f aca="false">$D173*Parametros!$C$22</f>
        <v>546.528</v>
      </c>
      <c r="G173" s="102" t="n">
        <f aca="false">$D173*Parametros!$D$22</f>
        <v>1138.6</v>
      </c>
      <c r="H173" s="102" t="n">
        <f aca="false">$D173*Parametros!$B$23</f>
        <v>11.386</v>
      </c>
      <c r="I173" s="102" t="n">
        <f aca="false">$D173*Parametros!$C$23</f>
        <v>68.316</v>
      </c>
      <c r="J173" s="102" t="n">
        <f aca="false">$D173*Parametros!$D$23</f>
        <v>170.79</v>
      </c>
      <c r="K173" s="89"/>
      <c r="L173" s="97" t="n">
        <f aca="false">COUNTIFS(Datos_Individuales!$C$541:$C$594,"Rio Bugalagrande - Puente Variante Bugalagrande",Datos_Individuales!$G$541:$G$594,"&lt;&gt;")</f>
        <v>7</v>
      </c>
      <c r="M173" s="90" t="n">
        <f aca="false">IF($L173=0,"",AVERAGEIFS(Datos_Individuales!$G$541:$G$594,Datos_Individuales!$C$541:$C$594,"Rio Bugalagrande - Puente Variante Bugalagrande"))</f>
        <v>1.58942857142857</v>
      </c>
      <c r="N173" s="90" t="n">
        <f aca="false">IF($L173&lt;2,"",SQRT(SUMPRODUCT((Datos_Individuales!$C$541:$C$594="Rio Bugalagrande - Puente Variante Bugalagrande")*(Datos_Individuales!$G$541:$G$594&lt;&gt;"")*(Datos_Individuales!$G$541:$G$594-$M173)^2)/($L173-1)))</f>
        <v>2.00974864573847</v>
      </c>
      <c r="O173" s="97" t="n">
        <f aca="false">COUNTIFS(Datos_Individuales!$C$541:$C$594,"Rio Bugalagrande - Puente Variante Bugalagrande",Datos_Individuales!$I$541:$I$594,"&lt;&gt;")</f>
        <v>18</v>
      </c>
      <c r="P173" s="90" t="n">
        <f aca="false">IF($O173=0,"",AVERAGEIFS(Datos_Individuales!$I$541:$I$594,Datos_Individuales!$C$541:$C$594,"Rio Bugalagrande - Puente Variante Bugalagrande"))</f>
        <v>0.0938722222222222</v>
      </c>
      <c r="Q173" s="90" t="n">
        <f aca="false">IF($O173&lt;2,"",SQRT(SUMPRODUCT((Datos_Individuales!$C$541:$C$594="Rio Bugalagrande - Puente Variante Bugalagrande")*(Datos_Individuales!$I$541:$I$594&lt;&gt;"")*(Datos_Individuales!$I$541:$I$594-$P173)^2)/($O173-1)))</f>
        <v>0.0400497603070679</v>
      </c>
    </row>
    <row r="174" customFormat="false" ht="25.5" hidden="false" customHeight="true" outlineLevel="0" collapsed="false">
      <c r="A174" s="100" t="s">
        <v>329</v>
      </c>
      <c r="B174" s="101" t="n">
        <v>14.298</v>
      </c>
      <c r="C174" s="98" t="n">
        <v>1168.72</v>
      </c>
      <c r="D174" s="98" t="n">
        <v>1282.58</v>
      </c>
      <c r="E174" s="102" t="n">
        <f aca="false">$D174*Parametros!$B$22</f>
        <v>3847.74</v>
      </c>
      <c r="F174" s="102" t="n">
        <f aca="false">$D174*Parametros!$C$22</f>
        <v>6156.384</v>
      </c>
      <c r="G174" s="102" t="n">
        <f aca="false">$D174*Parametros!$D$22</f>
        <v>12825.8</v>
      </c>
      <c r="H174" s="102" t="n">
        <f aca="false">$D174*Parametros!$B$23</f>
        <v>128.258</v>
      </c>
      <c r="I174" s="102" t="n">
        <f aca="false">$D174*Parametros!$C$23</f>
        <v>769.548</v>
      </c>
      <c r="J174" s="102" t="n">
        <f aca="false">$D174*Parametros!$D$23</f>
        <v>1923.87</v>
      </c>
      <c r="K174" s="89"/>
      <c r="L174" s="97" t="n">
        <f aca="false">COUNTIFS(Datos_Individuales!$C$541:$C$594,"Rio Bugalagrande - antes desembocadura a Río Cauca - Hacienda El Guayabo",Datos_Individuales!$G$541:$G$594,"&lt;&gt;")</f>
        <v>7</v>
      </c>
      <c r="M174" s="90" t="n">
        <f aca="false">IF($L174=0,"",AVERAGEIFS(Datos_Individuales!$G$541:$G$594,Datos_Individuales!$C$541:$C$594,"Rio Bugalagrande - antes desembocadura a Río Cauca - Hacienda El Guayabo"))</f>
        <v>2.14985714285714</v>
      </c>
      <c r="N174" s="90" t="n">
        <f aca="false">IF($L174&lt;2,"",SQRT(SUMPRODUCT((Datos_Individuales!$C$541:$C$594="Rio Bugalagrande - antes desembocadura a Río Cauca - Hacienda El Guayabo")*(Datos_Individuales!$G$541:$G$594&lt;&gt;"")*(Datos_Individuales!$G$541:$G$594-$M174)^2)/($L174-1)))</f>
        <v>2.60411036815336</v>
      </c>
      <c r="O174" s="97" t="n">
        <f aca="false">COUNTIFS(Datos_Individuales!$C$541:$C$594,"Rio Bugalagrande - antes desembocadura a Río Cauca - Hacienda El Guayabo",Datos_Individuales!$I$541:$I$594,"&lt;&gt;")</f>
        <v>18</v>
      </c>
      <c r="P174" s="90" t="n">
        <f aca="false">IF($O174=0,"",AVERAGEIFS(Datos_Individuales!$I$541:$I$594,Datos_Individuales!$C$541:$C$594,"Rio Bugalagrande - antes desembocadura a Río Cauca - Hacienda El Guayabo"))</f>
        <v>0.128138888888889</v>
      </c>
      <c r="Q174" s="90" t="n">
        <f aca="false">IF($O174&lt;2,"",SQRT(SUMPRODUCT((Datos_Individuales!$C$541:$C$594="Rio Bugalagrande - antes desembocadura a Río Cauca - Hacienda El Guayabo")*(Datos_Individuales!$I$541:$I$594&lt;&gt;"")*(Datos_Individuales!$I$541:$I$594-$P174)^2)/($O174-1)))</f>
        <v>0.0688945412239425</v>
      </c>
    </row>
    <row r="175" customFormat="false" ht="15" hidden="false" customHeight="true" outlineLevel="0" collapsed="false">
      <c r="A175" s="103" t="s">
        <v>273</v>
      </c>
      <c r="B175" s="104" t="n">
        <f aca="false">SUM(B172:B174)</f>
        <v>99.428</v>
      </c>
      <c r="C175" s="105" t="n">
        <f aca="false">SUM(C172:C174)</f>
        <v>1282.58</v>
      </c>
      <c r="D175" s="105" t="n">
        <f aca="false">D174</f>
        <v>1282.58</v>
      </c>
      <c r="E175" s="106" t="n">
        <f aca="false">E174</f>
        <v>3847.74</v>
      </c>
      <c r="F175" s="106" t="n">
        <f aca="false">F174</f>
        <v>6156.384</v>
      </c>
      <c r="G175" s="106" t="n">
        <f aca="false">G174</f>
        <v>12825.8</v>
      </c>
      <c r="H175" s="106" t="n">
        <f aca="false">H174</f>
        <v>128.258</v>
      </c>
      <c r="I175" s="106" t="n">
        <f aca="false">I174</f>
        <v>769.548</v>
      </c>
      <c r="J175" s="106" t="n">
        <f aca="false">J174</f>
        <v>1923.87</v>
      </c>
      <c r="K175" s="107"/>
      <c r="L175" s="108"/>
      <c r="M175" s="109"/>
      <c r="N175" s="109"/>
      <c r="O175" s="108"/>
      <c r="P175" s="109"/>
      <c r="Q175" s="109"/>
    </row>
    <row r="176" customFormat="false" ht="13.5" hidden="false" customHeight="true" outlineLevel="0" collapsed="false">
      <c r="A176" s="110" t="s">
        <v>274</v>
      </c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</row>
    <row r="177" customFormat="false" ht="25.5" hidden="false" customHeight="true" outlineLevel="0" collapsed="false">
      <c r="A177" s="111" t="s">
        <v>35</v>
      </c>
      <c r="B177" s="112" t="s">
        <v>275</v>
      </c>
      <c r="C177" s="112" t="s">
        <v>276</v>
      </c>
      <c r="D177" s="112" t="s">
        <v>277</v>
      </c>
      <c r="E177" s="112" t="s">
        <v>278</v>
      </c>
      <c r="F177" s="111" t="s">
        <v>102</v>
      </c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</row>
    <row r="178" customFormat="false" ht="15" hidden="false" customHeight="false" outlineLevel="0" collapsed="false">
      <c r="A178" s="88" t="s">
        <v>279</v>
      </c>
      <c r="B178" s="97" t="n">
        <f aca="false">COUNT(Datos_Individuales!$G$541:$G$594)</f>
        <v>21</v>
      </c>
      <c r="C178" s="99" t="n">
        <f aca="false">IF($B178&lt;3,"",IFERROR(SLOPE(Datos_Individuales!$G$541:$G$594,Datos_Individuales!$F$541:$F$594),""))</f>
        <v>8.03249283910921E-005</v>
      </c>
      <c r="D178" s="90" t="n">
        <f aca="false">IF($B178&lt;3,"",IFERROR(RSQ(Datos_Individuales!$G$541:$G$594,Datos_Individuales!$F$541:$F$594),""))</f>
        <v>0.0101205637629832</v>
      </c>
      <c r="E178" s="90" t="n">
        <f aca="false">IF($B178&lt;3,"",IFERROR(CORREL(Datos_Individuales!$G$541:$G$594,Datos_Individuales!$F$541:$F$594),""))</f>
        <v>0.100601012733387</v>
      </c>
      <c r="F178" s="100" t="str">
        <f aca="false">IF($B178&lt;3,"Datos insuficientes para regresar.",IF($D178="","Todas las mediciones provienen de una sola estación: el eje x no varía y la regresión no es estimable.",IF($C178&lt;0,"Pendiente negativa: la concentración baja al aumentar la caña aguas arriba. No hay señal atribuible a la caña.",IF($D178&lt;0.1,"La carga de caña explica menos del 10% de la variabilidad observada.",IF($D178&lt;0.3,"Asociación débil: la caña explica una fracción menor de la variabilidad.",IF($D178&lt;0.5,"Asociación moderada.","Asociación relativamente fuerte para dato observacional."))))))</f>
        <v>La carga de caña explica menos del 10% de la variabilidad observada.</v>
      </c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</row>
    <row r="179" customFormat="false" ht="15" hidden="false" customHeight="false" outlineLevel="0" collapsed="false">
      <c r="A179" s="88" t="s">
        <v>280</v>
      </c>
      <c r="B179" s="97" t="n">
        <f aca="false">COUNT(Datos_Individuales!$I$541:$I$594)</f>
        <v>54</v>
      </c>
      <c r="C179" s="99" t="n">
        <f aca="false">IF($B179&lt;3,"",IFERROR(SLOPE(Datos_Individuales!$I$541:$I$594,Datos_Individuales!$H$541:$H$594),""))</f>
        <v>3.90247962938301E-005</v>
      </c>
      <c r="D179" s="90" t="n">
        <f aca="false">IF($B179&lt;3,"",IFERROR(RSQ(Datos_Individuales!$I$541:$I$594,Datos_Individuales!$H$541:$H$594),""))</f>
        <v>0.0589440759849793</v>
      </c>
      <c r="E179" s="90" t="n">
        <f aca="false">IF($B179&lt;3,"",IFERROR(CORREL(Datos_Individuales!$I$541:$I$594,Datos_Individuales!$H$541:$H$594),""))</f>
        <v>0.242784010974733</v>
      </c>
      <c r="F179" s="100" t="str">
        <f aca="false">IF($B179&lt;3,"Datos insuficientes para regresar.",IF($D179="","Todas las mediciones provienen de una sola estación: el eje x no varía y la regresión no es estimable.",IF($C179&lt;0,"Pendiente negativa: la concentración baja al aumentar la caña aguas arriba. No hay señal atribuible a la caña.",IF($D179&lt;0.1,"La carga de caña explica menos del 10% de la variabilidad observada.",IF($D179&lt;0.3,"Asociación débil: la caña explica una fracción menor de la variabilidad.",IF($D179&lt;0.5,"Asociación moderada.","Asociación relativamente fuerte para dato observacional."))))))</f>
        <v>La carga de caña explica menos del 10% de la variabilidad observada.</v>
      </c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</row>
    <row r="182" customFormat="false" ht="18.75" hidden="false" customHeight="true" outlineLevel="0" collapsed="false">
      <c r="A182" s="95" t="s">
        <v>330</v>
      </c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</row>
    <row r="183" customFormat="false" ht="30" hidden="false" customHeight="true" outlineLevel="0" collapsed="false">
      <c r="A183" s="96" t="s">
        <v>254</v>
      </c>
      <c r="B183" s="86" t="s">
        <v>255</v>
      </c>
      <c r="C183" s="86" t="s">
        <v>256</v>
      </c>
      <c r="D183" s="86" t="s">
        <v>257</v>
      </c>
      <c r="E183" s="86" t="s">
        <v>258</v>
      </c>
      <c r="F183" s="86" t="s">
        <v>259</v>
      </c>
      <c r="G183" s="86" t="s">
        <v>260</v>
      </c>
      <c r="H183" s="86" t="s">
        <v>261</v>
      </c>
      <c r="I183" s="86" t="s">
        <v>262</v>
      </c>
      <c r="J183" s="86" t="s">
        <v>263</v>
      </c>
      <c r="K183" s="86"/>
      <c r="L183" s="86" t="s">
        <v>264</v>
      </c>
      <c r="M183" s="86" t="s">
        <v>265</v>
      </c>
      <c r="N183" s="86" t="s">
        <v>266</v>
      </c>
      <c r="O183" s="86" t="s">
        <v>267</v>
      </c>
      <c r="P183" s="86" t="s">
        <v>268</v>
      </c>
      <c r="Q183" s="86" t="s">
        <v>269</v>
      </c>
    </row>
    <row r="184" customFormat="false" ht="25.5" hidden="false" customHeight="true" outlineLevel="0" collapsed="false">
      <c r="A184" s="100" t="s">
        <v>331</v>
      </c>
      <c r="B184" s="101" t="n">
        <v>38.256</v>
      </c>
      <c r="C184" s="98" t="n">
        <v>54.21</v>
      </c>
      <c r="D184" s="98" t="n">
        <v>54.21</v>
      </c>
      <c r="E184" s="102" t="n">
        <f aca="false">$D184*Parametros!$B$22</f>
        <v>162.63</v>
      </c>
      <c r="F184" s="102" t="n">
        <f aca="false">$D184*Parametros!$C$22</f>
        <v>260.208</v>
      </c>
      <c r="G184" s="102" t="n">
        <f aca="false">$D184*Parametros!$D$22</f>
        <v>542.1</v>
      </c>
      <c r="H184" s="102" t="n">
        <f aca="false">$D184*Parametros!$B$23</f>
        <v>5.421</v>
      </c>
      <c r="I184" s="102" t="n">
        <f aca="false">$D184*Parametros!$C$23</f>
        <v>32.526</v>
      </c>
      <c r="J184" s="102" t="n">
        <f aca="false">$D184*Parametros!$D$23</f>
        <v>81.315</v>
      </c>
      <c r="K184" s="89"/>
      <c r="L184" s="97" t="n">
        <f aca="false">COUNTIFS(Datos_Individuales!$C$595:$C$648,"Rio La Paila - antes desembocadura del rio Totoro",Datos_Individuales!$G$595:$G$648,"&lt;&gt;")</f>
        <v>6</v>
      </c>
      <c r="M184" s="90" t="n">
        <f aca="false">IF($L184=0,"",AVERAGEIFS(Datos_Individuales!$G$595:$G$648,Datos_Individuales!$C$595:$C$648,"Rio La Paila - antes desembocadura del rio Totoro"))</f>
        <v>1.27333333333333</v>
      </c>
      <c r="N184" s="90" t="n">
        <f aca="false">IF($L184&lt;2,"",SQRT(SUMPRODUCT((Datos_Individuales!$C$595:$C$648="Rio La Paila - antes desembocadura del rio Totoro")*(Datos_Individuales!$G$595:$G$648&lt;&gt;"")*(Datos_Individuales!$G$595:$G$648-$M184)^2)/($L184-1)))</f>
        <v>0.946250213562283</v>
      </c>
      <c r="O184" s="97" t="n">
        <f aca="false">COUNTIFS(Datos_Individuales!$C$595:$C$648,"Rio La Paila - antes desembocadura del rio Totoro",Datos_Individuales!$I$595:$I$648,"&lt;&gt;")</f>
        <v>19</v>
      </c>
      <c r="P184" s="90" t="n">
        <f aca="false">IF($O184=0,"",AVERAGEIFS(Datos_Individuales!$I$595:$I$648,Datos_Individuales!$C$595:$C$648,"Rio La Paila - antes desembocadura del rio Totoro"))</f>
        <v>0.1927</v>
      </c>
      <c r="Q184" s="90" t="n">
        <f aca="false">IF($O184&lt;2,"",SQRT(SUMPRODUCT((Datos_Individuales!$C$595:$C$648="Rio La Paila - antes desembocadura del rio Totoro")*(Datos_Individuales!$I$595:$I$648&lt;&gt;"")*(Datos_Individuales!$I$595:$I$648-$P184)^2)/($O184-1)))</f>
        <v>0.328925327561</v>
      </c>
    </row>
    <row r="185" customFormat="false" ht="25.5" hidden="false" customHeight="true" outlineLevel="0" collapsed="false">
      <c r="A185" s="100" t="s">
        <v>332</v>
      </c>
      <c r="B185" s="101" t="n">
        <v>3.493</v>
      </c>
      <c r="C185" s="98" t="n">
        <v>3.4</v>
      </c>
      <c r="D185" s="98" t="n">
        <v>57.61</v>
      </c>
      <c r="E185" s="102" t="n">
        <f aca="false">$D185*Parametros!$B$22</f>
        <v>172.83</v>
      </c>
      <c r="F185" s="102" t="n">
        <f aca="false">$D185*Parametros!$C$22</f>
        <v>276.528</v>
      </c>
      <c r="G185" s="102" t="n">
        <f aca="false">$D185*Parametros!$D$22</f>
        <v>576.1</v>
      </c>
      <c r="H185" s="102" t="n">
        <f aca="false">$D185*Parametros!$B$23</f>
        <v>5.761</v>
      </c>
      <c r="I185" s="102" t="n">
        <f aca="false">$D185*Parametros!$C$23</f>
        <v>34.566</v>
      </c>
      <c r="J185" s="102" t="n">
        <f aca="false">$D185*Parametros!$D$23</f>
        <v>86.415</v>
      </c>
      <c r="K185" s="89"/>
      <c r="L185" s="97" t="n">
        <f aca="false">COUNTIFS(Datos_Individuales!$C$595:$C$648,"Rio La Paila - Planta Acuavalle",Datos_Individuales!$G$595:$G$648,"&lt;&gt;")</f>
        <v>6</v>
      </c>
      <c r="M185" s="90" t="n">
        <f aca="false">IF($L185=0,"",AVERAGEIFS(Datos_Individuales!$G$595:$G$648,Datos_Individuales!$C$595:$C$648,"Rio La Paila - Planta Acuavalle"))</f>
        <v>1.66616666666667</v>
      </c>
      <c r="N185" s="90" t="n">
        <f aca="false">IF($L185&lt;2,"",SQRT(SUMPRODUCT((Datos_Individuales!$C$595:$C$648="Rio La Paila - Planta Acuavalle")*(Datos_Individuales!$G$595:$G$648&lt;&gt;"")*(Datos_Individuales!$G$595:$G$648-$M185)^2)/($L185-1)))</f>
        <v>0.639922000455264</v>
      </c>
      <c r="O185" s="97" t="n">
        <f aca="false">COUNTIFS(Datos_Individuales!$C$595:$C$648,"Rio La Paila - Planta Acuavalle",Datos_Individuales!$I$595:$I$648,"&lt;&gt;")</f>
        <v>18</v>
      </c>
      <c r="P185" s="90" t="n">
        <f aca="false">IF($O185=0,"",AVERAGEIFS(Datos_Individuales!$I$595:$I$648,Datos_Individuales!$C$595:$C$648,"Rio La Paila - Planta Acuavalle"))</f>
        <v>0.110822222222222</v>
      </c>
      <c r="Q185" s="90" t="n">
        <f aca="false">IF($O185&lt;2,"",SQRT(SUMPRODUCT((Datos_Individuales!$C$595:$C$648="Rio La Paila - Planta Acuavalle")*(Datos_Individuales!$I$595:$I$648&lt;&gt;"")*(Datos_Individuales!$I$595:$I$648-$P185)^2)/($O185-1)))</f>
        <v>0.0795154336151576</v>
      </c>
    </row>
    <row r="186" customFormat="false" ht="25.5" hidden="false" customHeight="true" outlineLevel="0" collapsed="false">
      <c r="A186" s="100" t="s">
        <v>333</v>
      </c>
      <c r="B186" s="101" t="n">
        <v>24.721</v>
      </c>
      <c r="C186" s="98" t="n">
        <v>1381.3</v>
      </c>
      <c r="D186" s="98" t="n">
        <v>1438.91</v>
      </c>
      <c r="E186" s="102" t="n">
        <f aca="false">$D186*Parametros!$B$22</f>
        <v>4316.73</v>
      </c>
      <c r="F186" s="102" t="n">
        <f aca="false">$D186*Parametros!$C$22</f>
        <v>6906.768</v>
      </c>
      <c r="G186" s="102" t="n">
        <f aca="false">$D186*Parametros!$D$22</f>
        <v>14389.1</v>
      </c>
      <c r="H186" s="102" t="n">
        <f aca="false">$D186*Parametros!$B$23</f>
        <v>143.891</v>
      </c>
      <c r="I186" s="102" t="n">
        <f aca="false">$D186*Parametros!$C$23</f>
        <v>863.346</v>
      </c>
      <c r="J186" s="102" t="n">
        <f aca="false">$D186*Parametros!$D$23</f>
        <v>2158.365</v>
      </c>
      <c r="K186" s="89"/>
      <c r="L186" s="97" t="n">
        <f aca="false">COUNTIFS(Datos_Individuales!$C$595:$C$648,"Rio La Paila - Antes desembocadura a Rio Cauca",Datos_Individuales!$G$595:$G$648,"&lt;&gt;")</f>
        <v>6</v>
      </c>
      <c r="M186" s="90" t="n">
        <f aca="false">IF($L186=0,"",AVERAGEIFS(Datos_Individuales!$G$595:$G$648,Datos_Individuales!$C$595:$C$648,"Rio La Paila - Antes desembocadura a Rio Cauca"))</f>
        <v>2.20333333333333</v>
      </c>
      <c r="N186" s="90" t="n">
        <f aca="false">IF($L186&lt;2,"",SQRT(SUMPRODUCT((Datos_Individuales!$C$595:$C$648="Rio La Paila - Antes desembocadura a Rio Cauca")*(Datos_Individuales!$G$595:$G$648&lt;&gt;"")*(Datos_Individuales!$G$595:$G$648-$M186)^2)/($L186-1)))</f>
        <v>0.697442948682304</v>
      </c>
      <c r="O186" s="97" t="n">
        <f aca="false">COUNTIFS(Datos_Individuales!$C$595:$C$648,"Rio La Paila - Antes desembocadura a Rio Cauca",Datos_Individuales!$I$595:$I$648,"&lt;&gt;")</f>
        <v>17</v>
      </c>
      <c r="P186" s="90" t="n">
        <f aca="false">IF($O186=0,"",AVERAGEIFS(Datos_Individuales!$I$595:$I$648,Datos_Individuales!$C$595:$C$648,"Rio La Paila - Antes desembocadura a Rio Cauca"))</f>
        <v>0.530517647058824</v>
      </c>
      <c r="Q186" s="90" t="n">
        <f aca="false">IF($O186&lt;2,"",SQRT(SUMPRODUCT((Datos_Individuales!$C$595:$C$648="Rio La Paila - Antes desembocadura a Rio Cauca")*(Datos_Individuales!$I$595:$I$648&lt;&gt;"")*(Datos_Individuales!$I$595:$I$648-$P186)^2)/($O186-1)))</f>
        <v>0.69432332457157</v>
      </c>
    </row>
    <row r="187" customFormat="false" ht="15" hidden="false" customHeight="true" outlineLevel="0" collapsed="false">
      <c r="A187" s="103" t="s">
        <v>273</v>
      </c>
      <c r="B187" s="104" t="n">
        <f aca="false">SUM(B184:B186)</f>
        <v>66.47</v>
      </c>
      <c r="C187" s="105" t="n">
        <f aca="false">SUM(C184:C186)</f>
        <v>1438.91</v>
      </c>
      <c r="D187" s="105" t="n">
        <f aca="false">D186</f>
        <v>1438.91</v>
      </c>
      <c r="E187" s="106" t="n">
        <f aca="false">E186</f>
        <v>4316.73</v>
      </c>
      <c r="F187" s="106" t="n">
        <f aca="false">F186</f>
        <v>6906.768</v>
      </c>
      <c r="G187" s="106" t="n">
        <f aca="false">G186</f>
        <v>14389.1</v>
      </c>
      <c r="H187" s="106" t="n">
        <f aca="false">H186</f>
        <v>143.891</v>
      </c>
      <c r="I187" s="106" t="n">
        <f aca="false">I186</f>
        <v>863.346</v>
      </c>
      <c r="J187" s="106" t="n">
        <f aca="false">J186</f>
        <v>2158.365</v>
      </c>
      <c r="K187" s="107"/>
      <c r="L187" s="108"/>
      <c r="M187" s="109"/>
      <c r="N187" s="109"/>
      <c r="O187" s="108"/>
      <c r="P187" s="109"/>
      <c r="Q187" s="109"/>
    </row>
    <row r="188" customFormat="false" ht="13.5" hidden="false" customHeight="true" outlineLevel="0" collapsed="false">
      <c r="A188" s="110" t="s">
        <v>274</v>
      </c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</row>
    <row r="189" customFormat="false" ht="25.5" hidden="false" customHeight="true" outlineLevel="0" collapsed="false">
      <c r="A189" s="111" t="s">
        <v>35</v>
      </c>
      <c r="B189" s="112" t="s">
        <v>275</v>
      </c>
      <c r="C189" s="112" t="s">
        <v>276</v>
      </c>
      <c r="D189" s="112" t="s">
        <v>277</v>
      </c>
      <c r="E189" s="112" t="s">
        <v>278</v>
      </c>
      <c r="F189" s="111" t="s">
        <v>102</v>
      </c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</row>
    <row r="190" customFormat="false" ht="15" hidden="false" customHeight="false" outlineLevel="0" collapsed="false">
      <c r="A190" s="88" t="s">
        <v>279</v>
      </c>
      <c r="B190" s="97" t="n">
        <f aca="false">COUNT(Datos_Individuales!$G$595:$G$648)</f>
        <v>18</v>
      </c>
      <c r="C190" s="99" t="n">
        <f aca="false">IF($B190&lt;3,"",IFERROR(SLOPE(Datos_Individuales!$G$595:$G$648,Datos_Individuales!$F$595:$F$648),""))</f>
        <v>0.000110614653817715</v>
      </c>
      <c r="D190" s="90" t="n">
        <f aca="false">IF($B190&lt;3,"",IFERROR(RSQ(Datos_Individuales!$G$595:$G$648,Datos_Individuales!$F$595:$F$648),""))</f>
        <v>0.186380913135404</v>
      </c>
      <c r="E190" s="90" t="n">
        <f aca="false">IF($B190&lt;3,"",IFERROR(CORREL(Datos_Individuales!$G$595:$G$648,Datos_Individuales!$F$595:$F$648),""))</f>
        <v>0.431718557784356</v>
      </c>
      <c r="F190" s="100" t="str">
        <f aca="false">IF($B190&lt;3,"Datos insuficientes para regresar.",IF($D190="","Todas las mediciones provienen de una sola estación: el eje x no varía y la regresión no es estimable.",IF($C190&lt;0,"Pendiente negativa: la concentración baja al aumentar la caña aguas arriba. No hay señal atribuible a la caña.",IF($D190&lt;0.1,"La carga de caña explica menos del 10% de la variabilidad observada.",IF($D190&lt;0.3,"Asociación débil: la caña explica una fracción menor de la variabilidad.",IF($D190&lt;0.5,"Asociación moderada.","Asociación relativamente fuerte para dato observacional."))))))</f>
        <v>Asociación débil: la caña explica una fracción menor de la variabilidad.</v>
      </c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</row>
    <row r="191" customFormat="false" ht="15" hidden="false" customHeight="false" outlineLevel="0" collapsed="false">
      <c r="A191" s="88" t="s">
        <v>280</v>
      </c>
      <c r="B191" s="97" t="n">
        <f aca="false">COUNT(Datos_Individuales!$I$595:$I$648)</f>
        <v>54</v>
      </c>
      <c r="C191" s="99" t="n">
        <f aca="false">IF($B191&lt;3,"",IFERROR(SLOPE(Datos_Individuales!$I$595:$I$648,Datos_Individuales!$H$595:$H$648),""))</f>
        <v>0.000454899979026318</v>
      </c>
      <c r="D191" s="90" t="n">
        <f aca="false">IF($B191&lt;3,"",IFERROR(RSQ(Datos_Individuales!$I$595:$I$648,Datos_Individuales!$H$595:$H$648),""))</f>
        <v>0.14444054237327</v>
      </c>
      <c r="E191" s="90" t="n">
        <f aca="false">IF($B191&lt;3,"",IFERROR(CORREL(Datos_Individuales!$I$595:$I$648,Datos_Individuales!$H$595:$H$648),""))</f>
        <v>0.380053341484153</v>
      </c>
      <c r="F191" s="100" t="str">
        <f aca="false">IF($B191&lt;3,"Datos insuficientes para regresar.",IF($D191="","Todas las mediciones provienen de una sola estación: el eje x no varía y la regresión no es estimable.",IF($C191&lt;0,"Pendiente negativa: la concentración baja al aumentar la caña aguas arriba. No hay señal atribuible a la caña.",IF($D191&lt;0.1,"La carga de caña explica menos del 10% de la variabilidad observada.",IF($D191&lt;0.3,"Asociación débil: la caña explica una fracción menor de la variabilidad.",IF($D191&lt;0.5,"Asociación moderada.","Asociación relativamente fuerte para dato observacional."))))))</f>
        <v>Asociación débil: la caña explica una fracción menor de la variabilidad.</v>
      </c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</row>
    <row r="194" customFormat="false" ht="18.75" hidden="false" customHeight="true" outlineLevel="0" collapsed="false">
      <c r="A194" s="95" t="s">
        <v>334</v>
      </c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</row>
    <row r="195" customFormat="false" ht="30" hidden="false" customHeight="true" outlineLevel="0" collapsed="false">
      <c r="A195" s="96" t="s">
        <v>254</v>
      </c>
      <c r="B195" s="86" t="s">
        <v>255</v>
      </c>
      <c r="C195" s="86" t="s">
        <v>256</v>
      </c>
      <c r="D195" s="86" t="s">
        <v>257</v>
      </c>
      <c r="E195" s="86" t="s">
        <v>258</v>
      </c>
      <c r="F195" s="86" t="s">
        <v>259</v>
      </c>
      <c r="G195" s="86" t="s">
        <v>260</v>
      </c>
      <c r="H195" s="86" t="s">
        <v>261</v>
      </c>
      <c r="I195" s="86" t="s">
        <v>262</v>
      </c>
      <c r="J195" s="86" t="s">
        <v>263</v>
      </c>
      <c r="K195" s="86"/>
      <c r="L195" s="86" t="s">
        <v>264</v>
      </c>
      <c r="M195" s="86" t="s">
        <v>265</v>
      </c>
      <c r="N195" s="86" t="s">
        <v>266</v>
      </c>
      <c r="O195" s="86" t="s">
        <v>267</v>
      </c>
      <c r="P195" s="86" t="s">
        <v>268</v>
      </c>
      <c r="Q195" s="86" t="s">
        <v>269</v>
      </c>
    </row>
    <row r="196" customFormat="false" ht="25.5" hidden="false" customHeight="true" outlineLevel="0" collapsed="false">
      <c r="A196" s="100" t="s">
        <v>335</v>
      </c>
      <c r="B196" s="101" t="n">
        <v>64.842</v>
      </c>
      <c r="C196" s="98" t="n">
        <v>78.31</v>
      </c>
      <c r="D196" s="98" t="n">
        <v>78.31</v>
      </c>
      <c r="E196" s="102" t="n">
        <f aca="false">$D196*Parametros!$B$22</f>
        <v>234.93</v>
      </c>
      <c r="F196" s="102" t="n">
        <f aca="false">$D196*Parametros!$C$22</f>
        <v>375.888</v>
      </c>
      <c r="G196" s="102" t="n">
        <f aca="false">$D196*Parametros!$D$22</f>
        <v>783.1</v>
      </c>
      <c r="H196" s="102" t="n">
        <f aca="false">$D196*Parametros!$B$23</f>
        <v>7.831</v>
      </c>
      <c r="I196" s="102" t="n">
        <f aca="false">$D196*Parametros!$C$23</f>
        <v>46.986</v>
      </c>
      <c r="J196" s="102" t="n">
        <f aca="false">$D196*Parametros!$D$23</f>
        <v>117.465</v>
      </c>
      <c r="K196" s="89"/>
      <c r="L196" s="97" t="n">
        <f aca="false">COUNTIFS(Datos_Individuales!$C$649:$C$649,"Río Risaralda - Las Palmeras",Datos_Individuales!$G$649:$G$649,"&lt;&gt;")</f>
        <v>0</v>
      </c>
      <c r="M196" s="90" t="str">
        <f aca="false">IF($L196=0,"",AVERAGEIFS(Datos_Individuales!$G$649:$G$649,Datos_Individuales!$C$649:$C$649,"Río Risaralda - Las Palmeras"))</f>
        <v/>
      </c>
      <c r="N196" s="90" t="str">
        <f aca="false">IF($L196&lt;2,"",SQRT(SUMPRODUCT((Datos_Individuales!$C$649:$C$649="Río Risaralda - Las Palmeras")*(Datos_Individuales!$G$649:$G$649&lt;&gt;"")*(Datos_Individuales!$G$649:$G$649-$M196)^2)/($L196-1)))</f>
        <v/>
      </c>
      <c r="O196" s="97" t="n">
        <f aca="false">COUNTIFS(Datos_Individuales!$C$649:$C$649,"Río Risaralda - Las Palmeras",Datos_Individuales!$I$649:$I$649,"&lt;&gt;")</f>
        <v>0</v>
      </c>
      <c r="P196" s="90" t="str">
        <f aca="false">IF($O196=0,"",AVERAGEIFS(Datos_Individuales!$I$649:$I$649,Datos_Individuales!$C$649:$C$649,"Río Risaralda - Las Palmeras"))</f>
        <v/>
      </c>
      <c r="Q196" s="90" t="str">
        <f aca="false">IF($O196&lt;2,"",SQRT(SUMPRODUCT((Datos_Individuales!$C$649:$C$649="Río Risaralda - Las Palmeras")*(Datos_Individuales!$I$649:$I$649&lt;&gt;"")*(Datos_Individuales!$I$649:$I$649-$P196)^2)/($O196-1)))</f>
        <v/>
      </c>
    </row>
    <row r="197" customFormat="false" ht="25.5" hidden="false" customHeight="true" outlineLevel="0" collapsed="false">
      <c r="A197" s="100" t="s">
        <v>336</v>
      </c>
      <c r="B197" s="101" t="n">
        <v>0.236</v>
      </c>
      <c r="C197" s="98" t="n">
        <v>15.09</v>
      </c>
      <c r="D197" s="98" t="n">
        <v>93.4</v>
      </c>
      <c r="E197" s="102" t="n">
        <f aca="false">$D197*Parametros!$B$22</f>
        <v>280.2</v>
      </c>
      <c r="F197" s="102" t="n">
        <f aca="false">$D197*Parametros!$C$22</f>
        <v>448.32</v>
      </c>
      <c r="G197" s="102" t="n">
        <f aca="false">$D197*Parametros!$D$22</f>
        <v>934</v>
      </c>
      <c r="H197" s="102" t="n">
        <f aca="false">$D197*Parametros!$B$23</f>
        <v>9.34</v>
      </c>
      <c r="I197" s="102" t="n">
        <f aca="false">$D197*Parametros!$C$23</f>
        <v>56.04</v>
      </c>
      <c r="J197" s="102" t="n">
        <f aca="false">$D197*Parametros!$D$23</f>
        <v>140.1</v>
      </c>
      <c r="K197" s="89"/>
      <c r="L197" s="97" t="n">
        <f aca="false">COUNTIFS(Datos_Individuales!$C$649:$C$649,"Quebrada Chapata - Desembocadura",Datos_Individuales!$G$649:$G$649,"&lt;&gt;")</f>
        <v>1</v>
      </c>
      <c r="M197" s="90" t="n">
        <f aca="false">IF($L197=0,"",AVERAGEIFS(Datos_Individuales!$G$649:$G$649,Datos_Individuales!$C$649:$C$649,"Quebrada Chapata - Desembocadura"))</f>
        <v>5</v>
      </c>
      <c r="N197" s="90" t="str">
        <f aca="false">IF($L197&lt;2,"",SQRT(SUMPRODUCT((Datos_Individuales!$C$649:$C$649="Quebrada Chapata - Desembocadura")*(Datos_Individuales!$G$649:$G$649&lt;&gt;"")*(Datos_Individuales!$G$649:$G$649-$M197)^2)/($L197-1)))</f>
        <v/>
      </c>
      <c r="O197" s="97" t="n">
        <f aca="false">COUNTIFS(Datos_Individuales!$C$649:$C$649,"Quebrada Chapata - Desembocadura",Datos_Individuales!$I$649:$I$649,"&lt;&gt;")</f>
        <v>1</v>
      </c>
      <c r="P197" s="90" t="n">
        <f aca="false">IF($O197=0,"",AVERAGEIFS(Datos_Individuales!$I$649:$I$649,Datos_Individuales!$C$649:$C$649,"Quebrada Chapata - Desembocadura"))</f>
        <v>0.015</v>
      </c>
      <c r="Q197" s="90" t="str">
        <f aca="false">IF($O197&lt;2,"",SQRT(SUMPRODUCT((Datos_Individuales!$C$649:$C$649="Quebrada Chapata - Desembocadura")*(Datos_Individuales!$I$649:$I$649&lt;&gt;"")*(Datos_Individuales!$I$649:$I$649-$P197)^2)/($O197-1)))</f>
        <v/>
      </c>
    </row>
    <row r="198" customFormat="false" ht="25.5" hidden="false" customHeight="true" outlineLevel="0" collapsed="false">
      <c r="A198" s="100" t="s">
        <v>337</v>
      </c>
      <c r="B198" s="101" t="n">
        <v>42.771</v>
      </c>
      <c r="C198" s="98" t="n">
        <v>585.01</v>
      </c>
      <c r="D198" s="98" t="n">
        <v>678.41</v>
      </c>
      <c r="E198" s="102" t="n">
        <f aca="false">$D198*Parametros!$B$22</f>
        <v>2035.23</v>
      </c>
      <c r="F198" s="102" t="n">
        <f aca="false">$D198*Parametros!$C$22</f>
        <v>3256.368</v>
      </c>
      <c r="G198" s="102" t="n">
        <f aca="false">$D198*Parametros!$D$22</f>
        <v>6784.1</v>
      </c>
      <c r="H198" s="102" t="n">
        <f aca="false">$D198*Parametros!$B$23</f>
        <v>67.841</v>
      </c>
      <c r="I198" s="102" t="n">
        <f aca="false">$D198*Parametros!$C$23</f>
        <v>407.046</v>
      </c>
      <c r="J198" s="102" t="n">
        <f aca="false">$D198*Parametros!$D$23</f>
        <v>1017.615</v>
      </c>
      <c r="K198" s="89"/>
      <c r="L198" s="97" t="n">
        <f aca="false">COUNTIFS(Datos_Individuales!$C$649:$C$649,"Río Risaralda - Puente Negro",Datos_Individuales!$G$649:$G$649,"&lt;&gt;")</f>
        <v>0</v>
      </c>
      <c r="M198" s="90" t="str">
        <f aca="false">IF($L198=0,"",AVERAGEIFS(Datos_Individuales!$G$649:$G$649,Datos_Individuales!$C$649:$C$649,"Río Risaralda - Puente Negro"))</f>
        <v/>
      </c>
      <c r="N198" s="90" t="str">
        <f aca="false">IF($L198&lt;2,"",SQRT(SUMPRODUCT((Datos_Individuales!$C$649:$C$649="Río Risaralda - Puente Negro")*(Datos_Individuales!$G$649:$G$649&lt;&gt;"")*(Datos_Individuales!$G$649:$G$649-$M198)^2)/($L198-1)))</f>
        <v/>
      </c>
      <c r="O198" s="97" t="n">
        <f aca="false">COUNTIFS(Datos_Individuales!$C$649:$C$649,"Río Risaralda - Puente Negro",Datos_Individuales!$I$649:$I$649,"&lt;&gt;")</f>
        <v>0</v>
      </c>
      <c r="P198" s="90" t="str">
        <f aca="false">IF($O198=0,"",AVERAGEIFS(Datos_Individuales!$I$649:$I$649,Datos_Individuales!$C$649:$C$649,"Río Risaralda - Puente Negro"))</f>
        <v/>
      </c>
      <c r="Q198" s="90" t="str">
        <f aca="false">IF($O198&lt;2,"",SQRT(SUMPRODUCT((Datos_Individuales!$C$649:$C$649="Río Risaralda - Puente Negro")*(Datos_Individuales!$I$649:$I$649&lt;&gt;"")*(Datos_Individuales!$I$649:$I$649-$P198)^2)/($O198-1)))</f>
        <v/>
      </c>
    </row>
    <row r="199" customFormat="false" ht="15" hidden="false" customHeight="true" outlineLevel="0" collapsed="false">
      <c r="A199" s="103" t="s">
        <v>273</v>
      </c>
      <c r="B199" s="104" t="n">
        <f aca="false">SUM(B196:B198)</f>
        <v>107.849</v>
      </c>
      <c r="C199" s="105" t="n">
        <f aca="false">SUM(C196:C198)</f>
        <v>678.41</v>
      </c>
      <c r="D199" s="105" t="n">
        <f aca="false">D198</f>
        <v>678.41</v>
      </c>
      <c r="E199" s="106" t="n">
        <f aca="false">E198</f>
        <v>2035.23</v>
      </c>
      <c r="F199" s="106" t="n">
        <f aca="false">F198</f>
        <v>3256.368</v>
      </c>
      <c r="G199" s="106" t="n">
        <f aca="false">G198</f>
        <v>6784.1</v>
      </c>
      <c r="H199" s="106" t="n">
        <f aca="false">H198</f>
        <v>67.841</v>
      </c>
      <c r="I199" s="106" t="n">
        <f aca="false">I198</f>
        <v>407.046</v>
      </c>
      <c r="J199" s="106" t="n">
        <f aca="false">J198</f>
        <v>1017.615</v>
      </c>
      <c r="K199" s="107"/>
      <c r="L199" s="108"/>
      <c r="M199" s="109"/>
      <c r="N199" s="109"/>
      <c r="O199" s="108"/>
      <c r="P199" s="109"/>
      <c r="Q199" s="109"/>
    </row>
    <row r="200" customFormat="false" ht="13.5" hidden="false" customHeight="true" outlineLevel="0" collapsed="false">
      <c r="A200" s="110" t="s">
        <v>274</v>
      </c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</row>
    <row r="201" customFormat="false" ht="25.5" hidden="false" customHeight="true" outlineLevel="0" collapsed="false">
      <c r="A201" s="111" t="s">
        <v>35</v>
      </c>
      <c r="B201" s="112" t="s">
        <v>275</v>
      </c>
      <c r="C201" s="112" t="s">
        <v>276</v>
      </c>
      <c r="D201" s="112" t="s">
        <v>277</v>
      </c>
      <c r="E201" s="112" t="s">
        <v>278</v>
      </c>
      <c r="F201" s="111" t="s">
        <v>102</v>
      </c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</row>
    <row r="202" customFormat="false" ht="15" hidden="false" customHeight="false" outlineLevel="0" collapsed="false">
      <c r="A202" s="88" t="s">
        <v>279</v>
      </c>
      <c r="B202" s="97" t="n">
        <f aca="false">COUNT(Datos_Individuales!$G$649:$G$649)</f>
        <v>1</v>
      </c>
      <c r="C202" s="99" t="str">
        <f aca="false">IF($B202&lt;3,"",IFERROR(SLOPE(Datos_Individuales!$G$649:$G$649,Datos_Individuales!$F$649:$F$649),""))</f>
        <v/>
      </c>
      <c r="D202" s="90" t="str">
        <f aca="false">IF($B202&lt;3,"",IFERROR(RSQ(Datos_Individuales!$G$649:$G$649,Datos_Individuales!$F$649:$F$649),""))</f>
        <v/>
      </c>
      <c r="E202" s="90" t="str">
        <f aca="false">IF($B202&lt;3,"",IFERROR(CORREL(Datos_Individuales!$G$649:$G$649,Datos_Individuales!$F$649:$F$649),""))</f>
        <v/>
      </c>
      <c r="F202" s="100" t="str">
        <f aca="false">IF($B202&lt;3,"Datos insuficientes para regresar.",IF($D202="","Todas las mediciones provienen de una sola estación: el eje x no varía y la regresión no es estimable.",IF($C202&lt;0,"Pendiente negativa: la concentración baja al aumentar la caña aguas arriba. No hay señal atribuible a la caña.",IF($D202&lt;0.1,"La carga de caña explica menos del 10% de la variabilidad observada.",IF($D202&lt;0.3,"Asociación débil: la caña explica una fracción menor de la variabilidad.",IF($D202&lt;0.5,"Asociación moderada.","Asociación relativamente fuerte para dato observacional."))))))</f>
        <v>Datos insuficientes para regresar.</v>
      </c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</row>
    <row r="203" customFormat="false" ht="15" hidden="false" customHeight="false" outlineLevel="0" collapsed="false">
      <c r="A203" s="88" t="s">
        <v>280</v>
      </c>
      <c r="B203" s="97" t="n">
        <f aca="false">COUNT(Datos_Individuales!$I$649:$I$649)</f>
        <v>1</v>
      </c>
      <c r="C203" s="99" t="str">
        <f aca="false">IF($B203&lt;3,"",IFERROR(SLOPE(Datos_Individuales!$I$649:$I$649,Datos_Individuales!$H$649:$H$649),""))</f>
        <v/>
      </c>
      <c r="D203" s="90" t="str">
        <f aca="false">IF($B203&lt;3,"",IFERROR(RSQ(Datos_Individuales!$I$649:$I$649,Datos_Individuales!$H$649:$H$649),""))</f>
        <v/>
      </c>
      <c r="E203" s="90" t="str">
        <f aca="false">IF($B203&lt;3,"",IFERROR(CORREL(Datos_Individuales!$I$649:$I$649,Datos_Individuales!$H$649:$H$649),""))</f>
        <v/>
      </c>
      <c r="F203" s="100" t="str">
        <f aca="false">IF($B203&lt;3,"Datos insuficientes para regresar.",IF($D203="","Todas las mediciones provienen de una sola estación: el eje x no varía y la regresión no es estimable.",IF($C203&lt;0,"Pendiente negativa: la concentración baja al aumentar la caña aguas arriba. No hay señal atribuible a la caña.",IF($D203&lt;0.1,"La carga de caña explica menos del 10% de la variabilidad observada.",IF($D203&lt;0.3,"Asociación débil: la caña explica una fracción menor de la variabilidad.",IF($D203&lt;0.5,"Asociación moderada.","Asociación relativamente fuerte para dato observacional."))))))</f>
        <v>Datos insuficientes para regresar.</v>
      </c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</row>
  </sheetData>
  <mergeCells count="94">
    <mergeCell ref="A2:Q2"/>
    <mergeCell ref="A4:Q4"/>
    <mergeCell ref="A6:Q6"/>
    <mergeCell ref="J7:Q7"/>
    <mergeCell ref="J8:Q8"/>
    <mergeCell ref="J9:Q9"/>
    <mergeCell ref="J10:Q10"/>
    <mergeCell ref="J11:Q11"/>
    <mergeCell ref="J12:Q12"/>
    <mergeCell ref="J13:Q13"/>
    <mergeCell ref="J14:Q14"/>
    <mergeCell ref="J15:Q15"/>
    <mergeCell ref="J16:Q16"/>
    <mergeCell ref="J17:Q17"/>
    <mergeCell ref="J18:Q18"/>
    <mergeCell ref="J19:Q19"/>
    <mergeCell ref="J20:Q20"/>
    <mergeCell ref="J21:Q21"/>
    <mergeCell ref="J22:Q22"/>
    <mergeCell ref="A25:Q25"/>
    <mergeCell ref="A31:Q31"/>
    <mergeCell ref="F32:Q32"/>
    <mergeCell ref="F33:Q33"/>
    <mergeCell ref="F34:Q34"/>
    <mergeCell ref="A37:Q37"/>
    <mergeCell ref="A43:Q43"/>
    <mergeCell ref="F44:Q44"/>
    <mergeCell ref="F45:Q45"/>
    <mergeCell ref="F46:Q46"/>
    <mergeCell ref="A49:Q49"/>
    <mergeCell ref="A54:Q54"/>
    <mergeCell ref="F55:Q55"/>
    <mergeCell ref="F56:Q56"/>
    <mergeCell ref="F57:Q57"/>
    <mergeCell ref="A60:Q60"/>
    <mergeCell ref="A71:Q71"/>
    <mergeCell ref="F72:Q72"/>
    <mergeCell ref="F73:Q73"/>
    <mergeCell ref="F74:Q74"/>
    <mergeCell ref="A77:Q77"/>
    <mergeCell ref="A82:Q82"/>
    <mergeCell ref="F83:Q83"/>
    <mergeCell ref="F84:Q84"/>
    <mergeCell ref="F85:Q85"/>
    <mergeCell ref="A88:Q88"/>
    <mergeCell ref="A94:Q94"/>
    <mergeCell ref="F95:Q95"/>
    <mergeCell ref="F96:Q96"/>
    <mergeCell ref="F97:Q97"/>
    <mergeCell ref="A100:Q100"/>
    <mergeCell ref="A104:Q104"/>
    <mergeCell ref="F105:Q105"/>
    <mergeCell ref="F106:Q106"/>
    <mergeCell ref="F107:Q107"/>
    <mergeCell ref="A110:Q110"/>
    <mergeCell ref="A114:Q114"/>
    <mergeCell ref="F115:Q115"/>
    <mergeCell ref="F116:Q116"/>
    <mergeCell ref="F117:Q117"/>
    <mergeCell ref="A120:Q120"/>
    <mergeCell ref="A126:Q126"/>
    <mergeCell ref="F127:Q127"/>
    <mergeCell ref="F128:Q128"/>
    <mergeCell ref="F129:Q129"/>
    <mergeCell ref="A132:Q132"/>
    <mergeCell ref="A138:Q138"/>
    <mergeCell ref="F139:Q139"/>
    <mergeCell ref="F140:Q140"/>
    <mergeCell ref="F141:Q141"/>
    <mergeCell ref="A144:Q144"/>
    <mergeCell ref="A151:Q151"/>
    <mergeCell ref="F152:Q152"/>
    <mergeCell ref="F153:Q153"/>
    <mergeCell ref="F154:Q154"/>
    <mergeCell ref="A157:Q157"/>
    <mergeCell ref="A164:Q164"/>
    <mergeCell ref="F165:Q165"/>
    <mergeCell ref="F166:Q166"/>
    <mergeCell ref="F167:Q167"/>
    <mergeCell ref="A170:Q170"/>
    <mergeCell ref="A176:Q176"/>
    <mergeCell ref="F177:Q177"/>
    <mergeCell ref="F178:Q178"/>
    <mergeCell ref="F179:Q179"/>
    <mergeCell ref="A182:Q182"/>
    <mergeCell ref="A188:Q188"/>
    <mergeCell ref="F189:Q189"/>
    <mergeCell ref="F190:Q190"/>
    <mergeCell ref="F191:Q191"/>
    <mergeCell ref="A194:Q194"/>
    <mergeCell ref="A200:Q200"/>
    <mergeCell ref="F201:Q201"/>
    <mergeCell ref="F202:Q202"/>
    <mergeCell ref="F203:Q2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92" t="s">
        <v>338</v>
      </c>
    </row>
    <row r="2" customFormat="false" ht="43.5" hidden="false" customHeight="true" outlineLevel="0" collapsed="false">
      <c r="A2" s="93" t="s">
        <v>339</v>
      </c>
      <c r="B2" s="93"/>
      <c r="C2" s="93"/>
      <c r="D2" s="93"/>
      <c r="E2" s="93"/>
      <c r="F2" s="93"/>
      <c r="G2" s="93"/>
      <c r="H2" s="93"/>
      <c r="I2" s="93"/>
    </row>
    <row r="4" customFormat="false" ht="30" hidden="false" customHeight="true" outlineLevel="0" collapsed="false">
      <c r="A4" s="86" t="s">
        <v>54</v>
      </c>
      <c r="B4" s="86" t="s">
        <v>340</v>
      </c>
      <c r="C4" s="96" t="s">
        <v>119</v>
      </c>
      <c r="D4" s="86" t="s">
        <v>341</v>
      </c>
      <c r="E4" s="86" t="s">
        <v>257</v>
      </c>
      <c r="F4" s="86" t="s">
        <v>342</v>
      </c>
      <c r="G4" s="86" t="s">
        <v>343</v>
      </c>
      <c r="H4" s="86" t="s">
        <v>344</v>
      </c>
      <c r="I4" s="86" t="s">
        <v>345</v>
      </c>
    </row>
    <row r="5" customFormat="false" ht="15" hidden="false" customHeight="false" outlineLevel="0" collapsed="false">
      <c r="A5" s="88" t="s">
        <v>128</v>
      </c>
      <c r="B5" s="97" t="n">
        <v>1</v>
      </c>
      <c r="C5" s="88" t="s">
        <v>346</v>
      </c>
      <c r="D5" s="88" t="s">
        <v>347</v>
      </c>
      <c r="E5" s="98" t="n">
        <v>292.41</v>
      </c>
      <c r="F5" s="102" t="n">
        <f aca="false">$E5*Parametros!$C$22</f>
        <v>1403.568</v>
      </c>
      <c r="G5" s="90"/>
      <c r="H5" s="102" t="n">
        <f aca="false">$E5*Parametros!$C$23</f>
        <v>175.446</v>
      </c>
      <c r="I5" s="90" t="n">
        <v>0.096</v>
      </c>
    </row>
    <row r="6" customFormat="false" ht="15" hidden="false" customHeight="false" outlineLevel="0" collapsed="false">
      <c r="A6" s="88" t="s">
        <v>128</v>
      </c>
      <c r="B6" s="97" t="n">
        <v>1</v>
      </c>
      <c r="C6" s="88" t="s">
        <v>346</v>
      </c>
      <c r="D6" s="88" t="s">
        <v>348</v>
      </c>
      <c r="E6" s="98" t="n">
        <v>292.41</v>
      </c>
      <c r="F6" s="102" t="n">
        <f aca="false">$E6*Parametros!$C$22</f>
        <v>1403.568</v>
      </c>
      <c r="G6" s="90" t="n">
        <v>0.745</v>
      </c>
      <c r="H6" s="102" t="n">
        <f aca="false">$E6*Parametros!$C$23</f>
        <v>175.446</v>
      </c>
      <c r="I6" s="90" t="n">
        <v>0.0946</v>
      </c>
    </row>
    <row r="7" customFormat="false" ht="15" hidden="false" customHeight="false" outlineLevel="0" collapsed="false">
      <c r="A7" s="88" t="s">
        <v>128</v>
      </c>
      <c r="B7" s="97" t="n">
        <v>1</v>
      </c>
      <c r="C7" s="88" t="s">
        <v>346</v>
      </c>
      <c r="D7" s="88" t="s">
        <v>349</v>
      </c>
      <c r="E7" s="98" t="n">
        <v>292.41</v>
      </c>
      <c r="F7" s="102" t="n">
        <f aca="false">$E7*Parametros!$C$22</f>
        <v>1403.568</v>
      </c>
      <c r="G7" s="90" t="n">
        <v>0.828</v>
      </c>
      <c r="H7" s="102" t="n">
        <f aca="false">$E7*Parametros!$C$23</f>
        <v>175.446</v>
      </c>
      <c r="I7" s="90" t="n">
        <v>0.13</v>
      </c>
    </row>
    <row r="8" customFormat="false" ht="15" hidden="false" customHeight="false" outlineLevel="0" collapsed="false">
      <c r="A8" s="88" t="s">
        <v>128</v>
      </c>
      <c r="B8" s="97" t="n">
        <v>1</v>
      </c>
      <c r="C8" s="88" t="s">
        <v>346</v>
      </c>
      <c r="D8" s="88" t="s">
        <v>350</v>
      </c>
      <c r="E8" s="98" t="n">
        <v>292.41</v>
      </c>
      <c r="F8" s="102" t="n">
        <f aca="false">$E8*Parametros!$C$22</f>
        <v>1403.568</v>
      </c>
      <c r="G8" s="90"/>
      <c r="H8" s="102" t="n">
        <f aca="false">$E8*Parametros!$C$23</f>
        <v>175.446</v>
      </c>
      <c r="I8" s="90" t="n">
        <v>0.142</v>
      </c>
    </row>
    <row r="9" customFormat="false" ht="15" hidden="false" customHeight="false" outlineLevel="0" collapsed="false">
      <c r="A9" s="88" t="s">
        <v>128</v>
      </c>
      <c r="B9" s="97" t="n">
        <v>1</v>
      </c>
      <c r="C9" s="88" t="s">
        <v>346</v>
      </c>
      <c r="D9" s="88" t="s">
        <v>351</v>
      </c>
      <c r="E9" s="98" t="n">
        <v>292.41</v>
      </c>
      <c r="F9" s="102" t="n">
        <f aca="false">$E9*Parametros!$C$22</f>
        <v>1403.568</v>
      </c>
      <c r="G9" s="90" t="n">
        <v>0.5</v>
      </c>
      <c r="H9" s="102" t="n">
        <f aca="false">$E9*Parametros!$C$23</f>
        <v>175.446</v>
      </c>
      <c r="I9" s="90" t="n">
        <v>0.0959</v>
      </c>
    </row>
    <row r="10" customFormat="false" ht="15" hidden="false" customHeight="false" outlineLevel="0" collapsed="false">
      <c r="A10" s="88" t="s">
        <v>128</v>
      </c>
      <c r="B10" s="97" t="n">
        <v>1</v>
      </c>
      <c r="C10" s="88" t="s">
        <v>346</v>
      </c>
      <c r="D10" s="88" t="s">
        <v>352</v>
      </c>
      <c r="E10" s="98" t="n">
        <v>292.41</v>
      </c>
      <c r="F10" s="102" t="n">
        <f aca="false">$E10*Parametros!$C$22</f>
        <v>1403.568</v>
      </c>
      <c r="G10" s="90"/>
      <c r="H10" s="102" t="n">
        <f aca="false">$E10*Parametros!$C$23</f>
        <v>175.446</v>
      </c>
      <c r="I10" s="90" t="n">
        <v>0.101</v>
      </c>
    </row>
    <row r="11" customFormat="false" ht="15" hidden="false" customHeight="false" outlineLevel="0" collapsed="false">
      <c r="A11" s="88" t="s">
        <v>128</v>
      </c>
      <c r="B11" s="97" t="n">
        <v>1</v>
      </c>
      <c r="C11" s="88" t="s">
        <v>346</v>
      </c>
      <c r="D11" s="88" t="s">
        <v>353</v>
      </c>
      <c r="E11" s="98" t="n">
        <v>292.41</v>
      </c>
      <c r="F11" s="102" t="n">
        <f aca="false">$E11*Parametros!$C$22</f>
        <v>1403.568</v>
      </c>
      <c r="G11" s="90"/>
      <c r="H11" s="102" t="n">
        <f aca="false">$E11*Parametros!$C$23</f>
        <v>175.446</v>
      </c>
      <c r="I11" s="90" t="n">
        <v>0.186</v>
      </c>
    </row>
    <row r="12" customFormat="false" ht="15" hidden="false" customHeight="false" outlineLevel="0" collapsed="false">
      <c r="A12" s="88" t="s">
        <v>128</v>
      </c>
      <c r="B12" s="97" t="n">
        <v>1</v>
      </c>
      <c r="C12" s="88" t="s">
        <v>346</v>
      </c>
      <c r="D12" s="88" t="s">
        <v>354</v>
      </c>
      <c r="E12" s="98" t="n">
        <v>292.41</v>
      </c>
      <c r="F12" s="102" t="n">
        <f aca="false">$E12*Parametros!$C$22</f>
        <v>1403.568</v>
      </c>
      <c r="G12" s="90"/>
      <c r="H12" s="102" t="n">
        <f aca="false">$E12*Parametros!$C$23</f>
        <v>175.446</v>
      </c>
      <c r="I12" s="90" t="n">
        <v>0.091</v>
      </c>
    </row>
    <row r="13" customFormat="false" ht="15" hidden="false" customHeight="false" outlineLevel="0" collapsed="false">
      <c r="A13" s="88" t="s">
        <v>128</v>
      </c>
      <c r="B13" s="97" t="n">
        <v>1</v>
      </c>
      <c r="C13" s="88" t="s">
        <v>346</v>
      </c>
      <c r="D13" s="88" t="s">
        <v>355</v>
      </c>
      <c r="E13" s="98" t="n">
        <v>292.41</v>
      </c>
      <c r="F13" s="102" t="n">
        <f aca="false">$E13*Parametros!$C$22</f>
        <v>1403.568</v>
      </c>
      <c r="G13" s="90"/>
      <c r="H13" s="102" t="n">
        <f aca="false">$E13*Parametros!$C$23</f>
        <v>175.446</v>
      </c>
      <c r="I13" s="90" t="n">
        <v>0.0662</v>
      </c>
    </row>
    <row r="14" customFormat="false" ht="15" hidden="false" customHeight="false" outlineLevel="0" collapsed="false">
      <c r="A14" s="88" t="s">
        <v>128</v>
      </c>
      <c r="B14" s="97" t="n">
        <v>1</v>
      </c>
      <c r="C14" s="88" t="s">
        <v>346</v>
      </c>
      <c r="D14" s="88" t="s">
        <v>356</v>
      </c>
      <c r="E14" s="98" t="n">
        <v>292.41</v>
      </c>
      <c r="F14" s="102" t="n">
        <f aca="false">$E14*Parametros!$C$22</f>
        <v>1403.568</v>
      </c>
      <c r="G14" s="90"/>
      <c r="H14" s="102" t="n">
        <f aca="false">$E14*Parametros!$C$23</f>
        <v>175.446</v>
      </c>
      <c r="I14" s="90" t="n">
        <v>0.1</v>
      </c>
    </row>
    <row r="15" customFormat="false" ht="15" hidden="false" customHeight="false" outlineLevel="0" collapsed="false">
      <c r="A15" s="88" t="s">
        <v>128</v>
      </c>
      <c r="B15" s="97" t="n">
        <v>1</v>
      </c>
      <c r="C15" s="88" t="s">
        <v>346</v>
      </c>
      <c r="D15" s="88" t="s">
        <v>357</v>
      </c>
      <c r="E15" s="98" t="n">
        <v>292.41</v>
      </c>
      <c r="F15" s="102" t="n">
        <f aca="false">$E15*Parametros!$C$22</f>
        <v>1403.568</v>
      </c>
      <c r="G15" s="90" t="n">
        <v>1.5</v>
      </c>
      <c r="H15" s="102" t="n">
        <f aca="false">$E15*Parametros!$C$23</f>
        <v>175.446</v>
      </c>
      <c r="I15" s="90" t="n">
        <v>0.0946</v>
      </c>
    </row>
    <row r="16" customFormat="false" ht="15" hidden="false" customHeight="false" outlineLevel="0" collapsed="false">
      <c r="A16" s="88" t="s">
        <v>128</v>
      </c>
      <c r="B16" s="97" t="n">
        <v>1</v>
      </c>
      <c r="C16" s="88" t="s">
        <v>346</v>
      </c>
      <c r="D16" s="88" t="s">
        <v>358</v>
      </c>
      <c r="E16" s="98" t="n">
        <v>292.41</v>
      </c>
      <c r="F16" s="102" t="n">
        <f aca="false">$E16*Parametros!$C$22</f>
        <v>1403.568</v>
      </c>
      <c r="G16" s="90"/>
      <c r="H16" s="102" t="n">
        <f aca="false">$E16*Parametros!$C$23</f>
        <v>175.446</v>
      </c>
      <c r="I16" s="90" t="n">
        <v>0.0662</v>
      </c>
    </row>
    <row r="17" customFormat="false" ht="15" hidden="false" customHeight="false" outlineLevel="0" collapsed="false">
      <c r="A17" s="88" t="s">
        <v>128</v>
      </c>
      <c r="B17" s="97" t="n">
        <v>1</v>
      </c>
      <c r="C17" s="88" t="s">
        <v>346</v>
      </c>
      <c r="D17" s="88" t="s">
        <v>359</v>
      </c>
      <c r="E17" s="98" t="n">
        <v>292.41</v>
      </c>
      <c r="F17" s="102" t="n">
        <f aca="false">$E17*Parametros!$C$22</f>
        <v>1403.568</v>
      </c>
      <c r="G17" s="90" t="n">
        <v>0.636</v>
      </c>
      <c r="H17" s="102" t="n">
        <f aca="false">$E17*Parametros!$C$23</f>
        <v>175.446</v>
      </c>
      <c r="I17" s="90" t="n">
        <v>0.0959</v>
      </c>
    </row>
    <row r="18" customFormat="false" ht="15" hidden="false" customHeight="false" outlineLevel="0" collapsed="false">
      <c r="A18" s="88" t="s">
        <v>128</v>
      </c>
      <c r="B18" s="97" t="n">
        <v>1</v>
      </c>
      <c r="C18" s="88" t="s">
        <v>346</v>
      </c>
      <c r="D18" s="88" t="s">
        <v>360</v>
      </c>
      <c r="E18" s="98" t="n">
        <v>292.41</v>
      </c>
      <c r="F18" s="102" t="n">
        <f aca="false">$E18*Parametros!$C$22</f>
        <v>1403.568</v>
      </c>
      <c r="G18" s="90"/>
      <c r="H18" s="102" t="n">
        <f aca="false">$E18*Parametros!$C$23</f>
        <v>175.446</v>
      </c>
      <c r="I18" s="90" t="n">
        <v>0.125</v>
      </c>
    </row>
    <row r="19" customFormat="false" ht="15" hidden="false" customHeight="false" outlineLevel="0" collapsed="false">
      <c r="A19" s="88" t="s">
        <v>128</v>
      </c>
      <c r="B19" s="97" t="n">
        <v>1</v>
      </c>
      <c r="C19" s="88" t="s">
        <v>346</v>
      </c>
      <c r="D19" s="88" t="s">
        <v>361</v>
      </c>
      <c r="E19" s="98" t="n">
        <v>292.41</v>
      </c>
      <c r="F19" s="102" t="n">
        <f aca="false">$E19*Parametros!$C$22</f>
        <v>1403.568</v>
      </c>
      <c r="G19" s="90" t="n">
        <v>2.45</v>
      </c>
      <c r="H19" s="102" t="n">
        <f aca="false">$E19*Parametros!$C$23</f>
        <v>175.446</v>
      </c>
      <c r="I19" s="90" t="n">
        <v>0.113</v>
      </c>
    </row>
    <row r="20" customFormat="false" ht="15" hidden="false" customHeight="false" outlineLevel="0" collapsed="false">
      <c r="A20" s="88" t="s">
        <v>128</v>
      </c>
      <c r="B20" s="97" t="n">
        <v>1</v>
      </c>
      <c r="C20" s="88" t="s">
        <v>346</v>
      </c>
      <c r="D20" s="88" t="s">
        <v>362</v>
      </c>
      <c r="E20" s="98" t="n">
        <v>292.41</v>
      </c>
      <c r="F20" s="102" t="n">
        <f aca="false">$E20*Parametros!$C$22</f>
        <v>1403.568</v>
      </c>
      <c r="G20" s="90"/>
      <c r="H20" s="102" t="n">
        <f aca="false">$E20*Parametros!$C$23</f>
        <v>175.446</v>
      </c>
      <c r="I20" s="90" t="n">
        <v>0.13</v>
      </c>
    </row>
    <row r="21" customFormat="false" ht="15" hidden="false" customHeight="false" outlineLevel="0" collapsed="false">
      <c r="A21" s="88" t="s">
        <v>128</v>
      </c>
      <c r="B21" s="97" t="n">
        <v>2</v>
      </c>
      <c r="C21" s="88" t="s">
        <v>363</v>
      </c>
      <c r="D21" s="88" t="s">
        <v>347</v>
      </c>
      <c r="E21" s="98" t="n">
        <v>1902.6</v>
      </c>
      <c r="F21" s="102" t="n">
        <f aca="false">$E21*Parametros!$C$22</f>
        <v>9132.48</v>
      </c>
      <c r="G21" s="90"/>
      <c r="H21" s="102" t="n">
        <f aca="false">$E21*Parametros!$C$23</f>
        <v>1141.56</v>
      </c>
      <c r="I21" s="90" t="n">
        <v>0.379</v>
      </c>
    </row>
    <row r="22" customFormat="false" ht="15" hidden="false" customHeight="false" outlineLevel="0" collapsed="false">
      <c r="A22" s="88" t="s">
        <v>128</v>
      </c>
      <c r="B22" s="97" t="n">
        <v>2</v>
      </c>
      <c r="C22" s="88" t="s">
        <v>363</v>
      </c>
      <c r="D22" s="88" t="s">
        <v>348</v>
      </c>
      <c r="E22" s="98" t="n">
        <v>1902.6</v>
      </c>
      <c r="F22" s="102" t="n">
        <f aca="false">$E22*Parametros!$C$22</f>
        <v>9132.48</v>
      </c>
      <c r="G22" s="90" t="n">
        <v>1.27</v>
      </c>
      <c r="H22" s="102" t="n">
        <f aca="false">$E22*Parametros!$C$23</f>
        <v>1141.56</v>
      </c>
      <c r="I22" s="90" t="n">
        <v>0.1</v>
      </c>
    </row>
    <row r="23" customFormat="false" ht="15" hidden="false" customHeight="false" outlineLevel="0" collapsed="false">
      <c r="A23" s="88" t="s">
        <v>128</v>
      </c>
      <c r="B23" s="97" t="n">
        <v>2</v>
      </c>
      <c r="C23" s="88" t="s">
        <v>363</v>
      </c>
      <c r="D23" s="88" t="s">
        <v>349</v>
      </c>
      <c r="E23" s="98" t="n">
        <v>1902.6</v>
      </c>
      <c r="F23" s="102" t="n">
        <f aca="false">$E23*Parametros!$C$22</f>
        <v>9132.48</v>
      </c>
      <c r="G23" s="90" t="n">
        <v>5.98</v>
      </c>
      <c r="H23" s="102" t="n">
        <f aca="false">$E23*Parametros!$C$23</f>
        <v>1141.56</v>
      </c>
      <c r="I23" s="90" t="n">
        <v>0.0946</v>
      </c>
    </row>
    <row r="24" customFormat="false" ht="15" hidden="false" customHeight="false" outlineLevel="0" collapsed="false">
      <c r="A24" s="88" t="s">
        <v>128</v>
      </c>
      <c r="B24" s="97" t="n">
        <v>2</v>
      </c>
      <c r="C24" s="88" t="s">
        <v>363</v>
      </c>
      <c r="D24" s="88" t="s">
        <v>350</v>
      </c>
      <c r="E24" s="98" t="n">
        <v>1902.6</v>
      </c>
      <c r="F24" s="102" t="n">
        <f aca="false">$E24*Parametros!$C$22</f>
        <v>9132.48</v>
      </c>
      <c r="G24" s="90"/>
      <c r="H24" s="102" t="n">
        <f aca="false">$E24*Parametros!$C$23</f>
        <v>1141.56</v>
      </c>
      <c r="I24" s="90" t="n">
        <v>0.0959</v>
      </c>
    </row>
    <row r="25" customFormat="false" ht="15" hidden="false" customHeight="false" outlineLevel="0" collapsed="false">
      <c r="A25" s="88" t="s">
        <v>128</v>
      </c>
      <c r="B25" s="97" t="n">
        <v>2</v>
      </c>
      <c r="C25" s="88" t="s">
        <v>363</v>
      </c>
      <c r="D25" s="88" t="s">
        <v>351</v>
      </c>
      <c r="E25" s="98" t="n">
        <v>1902.6</v>
      </c>
      <c r="F25" s="102" t="n">
        <f aca="false">$E25*Parametros!$C$22</f>
        <v>9132.48</v>
      </c>
      <c r="G25" s="90" t="n">
        <v>1.28</v>
      </c>
      <c r="H25" s="102" t="n">
        <f aca="false">$E25*Parametros!$C$23</f>
        <v>1141.56</v>
      </c>
      <c r="I25" s="90" t="n">
        <v>0.0959</v>
      </c>
    </row>
    <row r="26" customFormat="false" ht="15" hidden="false" customHeight="false" outlineLevel="0" collapsed="false">
      <c r="A26" s="88" t="s">
        <v>128</v>
      </c>
      <c r="B26" s="97" t="n">
        <v>2</v>
      </c>
      <c r="C26" s="88" t="s">
        <v>363</v>
      </c>
      <c r="D26" s="88" t="s">
        <v>352</v>
      </c>
      <c r="E26" s="98" t="n">
        <v>1902.6</v>
      </c>
      <c r="F26" s="102" t="n">
        <f aca="false">$E26*Parametros!$C$22</f>
        <v>9132.48</v>
      </c>
      <c r="G26" s="90"/>
      <c r="H26" s="102" t="n">
        <f aca="false">$E26*Parametros!$C$23</f>
        <v>1141.56</v>
      </c>
      <c r="I26" s="90" t="n">
        <v>0.0946</v>
      </c>
    </row>
    <row r="27" customFormat="false" ht="15" hidden="false" customHeight="false" outlineLevel="0" collapsed="false">
      <c r="A27" s="88" t="s">
        <v>128</v>
      </c>
      <c r="B27" s="97" t="n">
        <v>2</v>
      </c>
      <c r="C27" s="88" t="s">
        <v>363</v>
      </c>
      <c r="D27" s="88" t="s">
        <v>353</v>
      </c>
      <c r="E27" s="98" t="n">
        <v>1902.6</v>
      </c>
      <c r="F27" s="102" t="n">
        <f aca="false">$E27*Parametros!$C$22</f>
        <v>9132.48</v>
      </c>
      <c r="G27" s="90"/>
      <c r="H27" s="102" t="n">
        <f aca="false">$E27*Parametros!$C$23</f>
        <v>1141.56</v>
      </c>
      <c r="I27" s="90" t="n">
        <v>0.265</v>
      </c>
    </row>
    <row r="28" customFormat="false" ht="15" hidden="false" customHeight="false" outlineLevel="0" collapsed="false">
      <c r="A28" s="88" t="s">
        <v>128</v>
      </c>
      <c r="B28" s="97" t="n">
        <v>2</v>
      </c>
      <c r="C28" s="88" t="s">
        <v>363</v>
      </c>
      <c r="D28" s="88" t="s">
        <v>354</v>
      </c>
      <c r="E28" s="98" t="n">
        <v>1902.6</v>
      </c>
      <c r="F28" s="102" t="n">
        <f aca="false">$E28*Parametros!$C$22</f>
        <v>9132.48</v>
      </c>
      <c r="G28" s="90"/>
      <c r="H28" s="102" t="n">
        <f aca="false">$E28*Parametros!$C$23</f>
        <v>1141.56</v>
      </c>
      <c r="I28" s="90" t="n">
        <v>0.087</v>
      </c>
    </row>
    <row r="29" customFormat="false" ht="15" hidden="false" customHeight="false" outlineLevel="0" collapsed="false">
      <c r="A29" s="88" t="s">
        <v>128</v>
      </c>
      <c r="B29" s="97" t="n">
        <v>2</v>
      </c>
      <c r="C29" s="88" t="s">
        <v>363</v>
      </c>
      <c r="D29" s="88" t="s">
        <v>355</v>
      </c>
      <c r="E29" s="98" t="n">
        <v>1902.6</v>
      </c>
      <c r="F29" s="102" t="n">
        <f aca="false">$E29*Parametros!$C$22</f>
        <v>9132.48</v>
      </c>
      <c r="G29" s="90"/>
      <c r="H29" s="102" t="n">
        <f aca="false">$E29*Parametros!$C$23</f>
        <v>1141.56</v>
      </c>
      <c r="I29" s="90" t="n">
        <v>0.0662</v>
      </c>
    </row>
    <row r="30" customFormat="false" ht="15" hidden="false" customHeight="false" outlineLevel="0" collapsed="false">
      <c r="A30" s="88" t="s">
        <v>128</v>
      </c>
      <c r="B30" s="97" t="n">
        <v>2</v>
      </c>
      <c r="C30" s="88" t="s">
        <v>363</v>
      </c>
      <c r="D30" s="88" t="s">
        <v>356</v>
      </c>
      <c r="E30" s="98" t="n">
        <v>1902.6</v>
      </c>
      <c r="F30" s="102" t="n">
        <f aca="false">$E30*Parametros!$C$22</f>
        <v>9132.48</v>
      </c>
      <c r="G30" s="90"/>
      <c r="H30" s="102" t="n">
        <f aca="false">$E30*Parametros!$C$23</f>
        <v>1141.56</v>
      </c>
      <c r="I30" s="90" t="n">
        <v>0.176</v>
      </c>
    </row>
    <row r="31" customFormat="false" ht="15" hidden="false" customHeight="false" outlineLevel="0" collapsed="false">
      <c r="A31" s="88" t="s">
        <v>128</v>
      </c>
      <c r="B31" s="97" t="n">
        <v>2</v>
      </c>
      <c r="C31" s="88" t="s">
        <v>363</v>
      </c>
      <c r="D31" s="88" t="s">
        <v>357</v>
      </c>
      <c r="E31" s="98" t="n">
        <v>1902.6</v>
      </c>
      <c r="F31" s="102" t="n">
        <f aca="false">$E31*Parametros!$C$22</f>
        <v>9132.48</v>
      </c>
      <c r="G31" s="90" t="n">
        <v>2.5</v>
      </c>
      <c r="H31" s="102" t="n">
        <f aca="false">$E31*Parametros!$C$23</f>
        <v>1141.56</v>
      </c>
      <c r="I31" s="90" t="n">
        <v>0.14</v>
      </c>
    </row>
    <row r="32" customFormat="false" ht="15" hidden="false" customHeight="false" outlineLevel="0" collapsed="false">
      <c r="A32" s="88" t="s">
        <v>128</v>
      </c>
      <c r="B32" s="97" t="n">
        <v>2</v>
      </c>
      <c r="C32" s="88" t="s">
        <v>363</v>
      </c>
      <c r="D32" s="88" t="s">
        <v>358</v>
      </c>
      <c r="E32" s="98" t="n">
        <v>1902.6</v>
      </c>
      <c r="F32" s="102" t="n">
        <f aca="false">$E32*Parametros!$C$22</f>
        <v>9132.48</v>
      </c>
      <c r="G32" s="90"/>
      <c r="H32" s="102" t="n">
        <f aca="false">$E32*Parametros!$C$23</f>
        <v>1141.56</v>
      </c>
      <c r="I32" s="90" t="n">
        <v>0.1</v>
      </c>
    </row>
    <row r="33" customFormat="false" ht="15" hidden="false" customHeight="false" outlineLevel="0" collapsed="false">
      <c r="A33" s="88" t="s">
        <v>128</v>
      </c>
      <c r="B33" s="97" t="n">
        <v>2</v>
      </c>
      <c r="C33" s="88" t="s">
        <v>363</v>
      </c>
      <c r="D33" s="88" t="s">
        <v>359</v>
      </c>
      <c r="E33" s="98" t="n">
        <v>1902.6</v>
      </c>
      <c r="F33" s="102" t="n">
        <f aca="false">$E33*Parametros!$C$22</f>
        <v>9132.48</v>
      </c>
      <c r="G33" s="90" t="n">
        <v>0.905</v>
      </c>
      <c r="H33" s="102" t="n">
        <f aca="false">$E33*Parametros!$C$23</f>
        <v>1141.56</v>
      </c>
      <c r="I33" s="90" t="n">
        <v>0.0959</v>
      </c>
    </row>
    <row r="34" customFormat="false" ht="15" hidden="false" customHeight="false" outlineLevel="0" collapsed="false">
      <c r="A34" s="88" t="s">
        <v>128</v>
      </c>
      <c r="B34" s="97" t="n">
        <v>2</v>
      </c>
      <c r="C34" s="88" t="s">
        <v>363</v>
      </c>
      <c r="D34" s="88" t="s">
        <v>360</v>
      </c>
      <c r="E34" s="98" t="n">
        <v>1902.6</v>
      </c>
      <c r="F34" s="102" t="n">
        <f aca="false">$E34*Parametros!$C$22</f>
        <v>9132.48</v>
      </c>
      <c r="G34" s="90"/>
      <c r="H34" s="102" t="n">
        <f aca="false">$E34*Parametros!$C$23</f>
        <v>1141.56</v>
      </c>
      <c r="I34" s="90" t="n">
        <v>0.0959</v>
      </c>
    </row>
    <row r="35" customFormat="false" ht="15" hidden="false" customHeight="false" outlineLevel="0" collapsed="false">
      <c r="A35" s="88" t="s">
        <v>128</v>
      </c>
      <c r="B35" s="97" t="n">
        <v>2</v>
      </c>
      <c r="C35" s="88" t="s">
        <v>363</v>
      </c>
      <c r="D35" s="88" t="s">
        <v>361</v>
      </c>
      <c r="E35" s="98" t="n">
        <v>1902.6</v>
      </c>
      <c r="F35" s="102" t="n">
        <f aca="false">$E35*Parametros!$C$22</f>
        <v>9132.48</v>
      </c>
      <c r="G35" s="90" t="n">
        <v>6.6</v>
      </c>
      <c r="H35" s="102" t="n">
        <f aca="false">$E35*Parametros!$C$23</f>
        <v>1141.56</v>
      </c>
      <c r="I35" s="90" t="n">
        <v>0.246</v>
      </c>
    </row>
    <row r="36" customFormat="false" ht="15" hidden="false" customHeight="false" outlineLevel="0" collapsed="false">
      <c r="A36" s="88" t="s">
        <v>128</v>
      </c>
      <c r="B36" s="97" t="n">
        <v>2</v>
      </c>
      <c r="C36" s="88" t="s">
        <v>363</v>
      </c>
      <c r="D36" s="88" t="s">
        <v>362</v>
      </c>
      <c r="E36" s="98" t="n">
        <v>1902.6</v>
      </c>
      <c r="F36" s="102" t="n">
        <f aca="false">$E36*Parametros!$C$22</f>
        <v>9132.48</v>
      </c>
      <c r="G36" s="90"/>
      <c r="H36" s="102" t="n">
        <f aca="false">$E36*Parametros!$C$23</f>
        <v>1141.56</v>
      </c>
      <c r="I36" s="90" t="n">
        <v>0.233</v>
      </c>
    </row>
    <row r="37" customFormat="false" ht="22.35" hidden="false" customHeight="false" outlineLevel="0" collapsed="false">
      <c r="A37" s="88" t="s">
        <v>128</v>
      </c>
      <c r="B37" s="97" t="n">
        <v>3</v>
      </c>
      <c r="C37" s="88" t="s">
        <v>364</v>
      </c>
      <c r="D37" s="88" t="s">
        <v>347</v>
      </c>
      <c r="E37" s="98" t="n">
        <v>3794.85</v>
      </c>
      <c r="F37" s="102" t="n">
        <f aca="false">$E37*Parametros!$C$22</f>
        <v>18215.28</v>
      </c>
      <c r="G37" s="90"/>
      <c r="H37" s="102" t="n">
        <f aca="false">$E37*Parametros!$C$23</f>
        <v>2276.91</v>
      </c>
      <c r="I37" s="90" t="n">
        <v>0.379</v>
      </c>
    </row>
    <row r="38" customFormat="false" ht="22.35" hidden="false" customHeight="false" outlineLevel="0" collapsed="false">
      <c r="A38" s="88" t="s">
        <v>128</v>
      </c>
      <c r="B38" s="97" t="n">
        <v>3</v>
      </c>
      <c r="C38" s="88" t="s">
        <v>364</v>
      </c>
      <c r="D38" s="88" t="s">
        <v>348</v>
      </c>
      <c r="E38" s="98" t="n">
        <v>3794.85</v>
      </c>
      <c r="F38" s="102" t="n">
        <f aca="false">$E38*Parametros!$C$22</f>
        <v>18215.28</v>
      </c>
      <c r="G38" s="90" t="n">
        <v>1.95</v>
      </c>
      <c r="H38" s="102" t="n">
        <f aca="false">$E38*Parametros!$C$23</f>
        <v>2276.91</v>
      </c>
      <c r="I38" s="90" t="n">
        <v>0.43</v>
      </c>
    </row>
    <row r="39" customFormat="false" ht="22.35" hidden="false" customHeight="false" outlineLevel="0" collapsed="false">
      <c r="A39" s="88" t="s">
        <v>128</v>
      </c>
      <c r="B39" s="97" t="n">
        <v>3</v>
      </c>
      <c r="C39" s="88" t="s">
        <v>364</v>
      </c>
      <c r="D39" s="88" t="s">
        <v>349</v>
      </c>
      <c r="E39" s="98" t="n">
        <v>3794.85</v>
      </c>
      <c r="F39" s="102" t="n">
        <f aca="false">$E39*Parametros!$C$22</f>
        <v>18215.28</v>
      </c>
      <c r="G39" s="90" t="n">
        <v>4.92</v>
      </c>
      <c r="H39" s="102" t="n">
        <f aca="false">$E39*Parametros!$C$23</f>
        <v>2276.91</v>
      </c>
      <c r="I39" s="90" t="n">
        <v>0.0946</v>
      </c>
    </row>
    <row r="40" customFormat="false" ht="22.35" hidden="false" customHeight="false" outlineLevel="0" collapsed="false">
      <c r="A40" s="88" t="s">
        <v>128</v>
      </c>
      <c r="B40" s="97" t="n">
        <v>3</v>
      </c>
      <c r="C40" s="88" t="s">
        <v>364</v>
      </c>
      <c r="D40" s="88" t="s">
        <v>350</v>
      </c>
      <c r="E40" s="98" t="n">
        <v>3794.85</v>
      </c>
      <c r="F40" s="102" t="n">
        <f aca="false">$E40*Parametros!$C$22</f>
        <v>18215.28</v>
      </c>
      <c r="G40" s="90"/>
      <c r="H40" s="102" t="n">
        <f aca="false">$E40*Parametros!$C$23</f>
        <v>2276.91</v>
      </c>
      <c r="I40" s="90" t="n">
        <v>0.177</v>
      </c>
    </row>
    <row r="41" customFormat="false" ht="22.35" hidden="false" customHeight="false" outlineLevel="0" collapsed="false">
      <c r="A41" s="88" t="s">
        <v>128</v>
      </c>
      <c r="B41" s="97" t="n">
        <v>3</v>
      </c>
      <c r="C41" s="88" t="s">
        <v>364</v>
      </c>
      <c r="D41" s="88" t="s">
        <v>351</v>
      </c>
      <c r="E41" s="98" t="n">
        <v>3794.85</v>
      </c>
      <c r="F41" s="102" t="n">
        <f aca="false">$E41*Parametros!$C$22</f>
        <v>18215.28</v>
      </c>
      <c r="G41" s="90" t="n">
        <v>2.05</v>
      </c>
      <c r="H41" s="102" t="n">
        <f aca="false">$E41*Parametros!$C$23</f>
        <v>2276.91</v>
      </c>
      <c r="I41" s="90" t="n">
        <v>0.0959</v>
      </c>
    </row>
    <row r="42" customFormat="false" ht="22.35" hidden="false" customHeight="false" outlineLevel="0" collapsed="false">
      <c r="A42" s="88" t="s">
        <v>128</v>
      </c>
      <c r="B42" s="97" t="n">
        <v>3</v>
      </c>
      <c r="C42" s="88" t="s">
        <v>364</v>
      </c>
      <c r="D42" s="88" t="s">
        <v>352</v>
      </c>
      <c r="E42" s="98" t="n">
        <v>3794.85</v>
      </c>
      <c r="F42" s="102" t="n">
        <f aca="false">$E42*Parametros!$C$22</f>
        <v>18215.28</v>
      </c>
      <c r="G42" s="90"/>
      <c r="H42" s="102" t="n">
        <f aca="false">$E42*Parametros!$C$23</f>
        <v>2276.91</v>
      </c>
      <c r="I42" s="90" t="n">
        <v>0.436</v>
      </c>
    </row>
    <row r="43" customFormat="false" ht="22.35" hidden="false" customHeight="false" outlineLevel="0" collapsed="false">
      <c r="A43" s="88" t="s">
        <v>128</v>
      </c>
      <c r="B43" s="97" t="n">
        <v>3</v>
      </c>
      <c r="C43" s="88" t="s">
        <v>364</v>
      </c>
      <c r="D43" s="88" t="s">
        <v>353</v>
      </c>
      <c r="E43" s="98" t="n">
        <v>3794.85</v>
      </c>
      <c r="F43" s="102" t="n">
        <f aca="false">$E43*Parametros!$C$22</f>
        <v>18215.28</v>
      </c>
      <c r="G43" s="90"/>
      <c r="H43" s="102" t="n">
        <f aca="false">$E43*Parametros!$C$23</f>
        <v>2276.91</v>
      </c>
      <c r="I43" s="90" t="n">
        <v>0.346</v>
      </c>
    </row>
    <row r="44" customFormat="false" ht="22.35" hidden="false" customHeight="false" outlineLevel="0" collapsed="false">
      <c r="A44" s="88" t="s">
        <v>128</v>
      </c>
      <c r="B44" s="97" t="n">
        <v>3</v>
      </c>
      <c r="C44" s="88" t="s">
        <v>364</v>
      </c>
      <c r="D44" s="88" t="s">
        <v>354</v>
      </c>
      <c r="E44" s="98" t="n">
        <v>3794.85</v>
      </c>
      <c r="F44" s="102" t="n">
        <f aca="false">$E44*Parametros!$C$22</f>
        <v>18215.28</v>
      </c>
      <c r="G44" s="90"/>
      <c r="H44" s="102" t="n">
        <f aca="false">$E44*Parametros!$C$23</f>
        <v>2276.91</v>
      </c>
      <c r="I44" s="90" t="n">
        <v>0.191</v>
      </c>
    </row>
    <row r="45" customFormat="false" ht="22.35" hidden="false" customHeight="false" outlineLevel="0" collapsed="false">
      <c r="A45" s="88" t="s">
        <v>128</v>
      </c>
      <c r="B45" s="97" t="n">
        <v>3</v>
      </c>
      <c r="C45" s="88" t="s">
        <v>364</v>
      </c>
      <c r="D45" s="88" t="s">
        <v>355</v>
      </c>
      <c r="E45" s="98" t="n">
        <v>3794.85</v>
      </c>
      <c r="F45" s="102" t="n">
        <f aca="false">$E45*Parametros!$C$22</f>
        <v>18215.28</v>
      </c>
      <c r="G45" s="90"/>
      <c r="H45" s="102" t="n">
        <f aca="false">$E45*Parametros!$C$23</f>
        <v>2276.91</v>
      </c>
      <c r="I45" s="90" t="n">
        <v>0.497</v>
      </c>
    </row>
    <row r="46" customFormat="false" ht="22.35" hidden="false" customHeight="false" outlineLevel="0" collapsed="false">
      <c r="A46" s="88" t="s">
        <v>128</v>
      </c>
      <c r="B46" s="97" t="n">
        <v>3</v>
      </c>
      <c r="C46" s="88" t="s">
        <v>364</v>
      </c>
      <c r="D46" s="88" t="s">
        <v>356</v>
      </c>
      <c r="E46" s="98" t="n">
        <v>3794.85</v>
      </c>
      <c r="F46" s="102" t="n">
        <f aca="false">$E46*Parametros!$C$22</f>
        <v>18215.28</v>
      </c>
      <c r="G46" s="90"/>
      <c r="H46" s="102" t="n">
        <f aca="false">$E46*Parametros!$C$23</f>
        <v>2276.91</v>
      </c>
      <c r="I46" s="90" t="n">
        <v>0.167</v>
      </c>
    </row>
    <row r="47" customFormat="false" ht="22.35" hidden="false" customHeight="false" outlineLevel="0" collapsed="false">
      <c r="A47" s="88" t="s">
        <v>128</v>
      </c>
      <c r="B47" s="97" t="n">
        <v>3</v>
      </c>
      <c r="C47" s="88" t="s">
        <v>364</v>
      </c>
      <c r="D47" s="88" t="s">
        <v>357</v>
      </c>
      <c r="E47" s="98" t="n">
        <v>3794.85</v>
      </c>
      <c r="F47" s="102" t="n">
        <f aca="false">$E47*Parametros!$C$22</f>
        <v>18215.28</v>
      </c>
      <c r="G47" s="90" t="n">
        <v>2.7</v>
      </c>
      <c r="H47" s="102" t="n">
        <f aca="false">$E47*Parametros!$C$23</f>
        <v>2276.91</v>
      </c>
      <c r="I47" s="90" t="n">
        <v>0.23</v>
      </c>
    </row>
    <row r="48" customFormat="false" ht="22.35" hidden="false" customHeight="false" outlineLevel="0" collapsed="false">
      <c r="A48" s="88" t="s">
        <v>128</v>
      </c>
      <c r="B48" s="97" t="n">
        <v>3</v>
      </c>
      <c r="C48" s="88" t="s">
        <v>364</v>
      </c>
      <c r="D48" s="88" t="s">
        <v>358</v>
      </c>
      <c r="E48" s="98" t="n">
        <v>3794.85</v>
      </c>
      <c r="F48" s="102" t="n">
        <f aca="false">$E48*Parametros!$C$22</f>
        <v>18215.28</v>
      </c>
      <c r="G48" s="90"/>
      <c r="H48" s="102" t="n">
        <f aca="false">$E48*Parametros!$C$23</f>
        <v>2276.91</v>
      </c>
      <c r="I48" s="90" t="n">
        <v>0.218</v>
      </c>
    </row>
    <row r="49" customFormat="false" ht="22.35" hidden="false" customHeight="false" outlineLevel="0" collapsed="false">
      <c r="A49" s="88" t="s">
        <v>128</v>
      </c>
      <c r="B49" s="97" t="n">
        <v>3</v>
      </c>
      <c r="C49" s="88" t="s">
        <v>364</v>
      </c>
      <c r="D49" s="88" t="s">
        <v>359</v>
      </c>
      <c r="E49" s="98" t="n">
        <v>3794.85</v>
      </c>
      <c r="F49" s="102" t="n">
        <f aca="false">$E49*Parametros!$C$22</f>
        <v>18215.28</v>
      </c>
      <c r="G49" s="90" t="n">
        <v>0.944</v>
      </c>
      <c r="H49" s="102" t="n">
        <f aca="false">$E49*Parametros!$C$23</f>
        <v>2276.91</v>
      </c>
      <c r="I49" s="90" t="n">
        <v>0.175</v>
      </c>
    </row>
    <row r="50" customFormat="false" ht="22.35" hidden="false" customHeight="false" outlineLevel="0" collapsed="false">
      <c r="A50" s="88" t="s">
        <v>128</v>
      </c>
      <c r="B50" s="97" t="n">
        <v>3</v>
      </c>
      <c r="C50" s="88" t="s">
        <v>364</v>
      </c>
      <c r="D50" s="88" t="s">
        <v>360</v>
      </c>
      <c r="E50" s="98" t="n">
        <v>3794.85</v>
      </c>
      <c r="F50" s="102" t="n">
        <f aca="false">$E50*Parametros!$C$22</f>
        <v>18215.28</v>
      </c>
      <c r="G50" s="90"/>
      <c r="H50" s="102" t="n">
        <f aca="false">$E50*Parametros!$C$23</f>
        <v>2276.91</v>
      </c>
      <c r="I50" s="90" t="n">
        <v>0.0959</v>
      </c>
    </row>
    <row r="51" customFormat="false" ht="22.35" hidden="false" customHeight="false" outlineLevel="0" collapsed="false">
      <c r="A51" s="88" t="s">
        <v>128</v>
      </c>
      <c r="B51" s="97" t="n">
        <v>3</v>
      </c>
      <c r="C51" s="88" t="s">
        <v>364</v>
      </c>
      <c r="D51" s="88" t="s">
        <v>361</v>
      </c>
      <c r="E51" s="98" t="n">
        <v>3794.85</v>
      </c>
      <c r="F51" s="102" t="n">
        <f aca="false">$E51*Parametros!$C$22</f>
        <v>18215.28</v>
      </c>
      <c r="G51" s="90" t="n">
        <v>5.52</v>
      </c>
      <c r="H51" s="102" t="n">
        <f aca="false">$E51*Parametros!$C$23</f>
        <v>2276.91</v>
      </c>
      <c r="I51" s="90" t="n">
        <v>0.69</v>
      </c>
    </row>
    <row r="52" customFormat="false" ht="22.35" hidden="false" customHeight="false" outlineLevel="0" collapsed="false">
      <c r="A52" s="88" t="s">
        <v>128</v>
      </c>
      <c r="B52" s="97" t="n">
        <v>3</v>
      </c>
      <c r="C52" s="88" t="s">
        <v>364</v>
      </c>
      <c r="D52" s="88" t="s">
        <v>362</v>
      </c>
      <c r="E52" s="98" t="n">
        <v>3794.85</v>
      </c>
      <c r="F52" s="102" t="n">
        <f aca="false">$E52*Parametros!$C$22</f>
        <v>18215.28</v>
      </c>
      <c r="G52" s="90"/>
      <c r="H52" s="102" t="n">
        <f aca="false">$E52*Parametros!$C$23</f>
        <v>2276.91</v>
      </c>
      <c r="I52" s="90" t="n">
        <v>0.35</v>
      </c>
    </row>
    <row r="53" customFormat="false" ht="15" hidden="false" customHeight="false" outlineLevel="0" collapsed="false">
      <c r="A53" s="88" t="s">
        <v>134</v>
      </c>
      <c r="B53" s="97" t="n">
        <v>1</v>
      </c>
      <c r="C53" s="88" t="s">
        <v>365</v>
      </c>
      <c r="D53" s="88" t="s">
        <v>347</v>
      </c>
      <c r="E53" s="98" t="n">
        <v>92.77</v>
      </c>
      <c r="F53" s="102" t="n">
        <f aca="false">$E53*Parametros!$C$22</f>
        <v>445.296</v>
      </c>
      <c r="G53" s="90"/>
      <c r="H53" s="102" t="n">
        <f aca="false">$E53*Parametros!$C$23</f>
        <v>55.662</v>
      </c>
      <c r="I53" s="90" t="n">
        <v>0.113</v>
      </c>
    </row>
    <row r="54" customFormat="false" ht="15" hidden="false" customHeight="false" outlineLevel="0" collapsed="false">
      <c r="A54" s="88" t="s">
        <v>134</v>
      </c>
      <c r="B54" s="97" t="n">
        <v>1</v>
      </c>
      <c r="C54" s="88" t="s">
        <v>365</v>
      </c>
      <c r="D54" s="88" t="s">
        <v>348</v>
      </c>
      <c r="E54" s="98" t="n">
        <v>92.77</v>
      </c>
      <c r="F54" s="102" t="n">
        <f aca="false">$E54*Parametros!$C$22</f>
        <v>445.296</v>
      </c>
      <c r="G54" s="90" t="n">
        <v>0.843</v>
      </c>
      <c r="H54" s="102" t="n">
        <f aca="false">$E54*Parametros!$C$23</f>
        <v>55.662</v>
      </c>
      <c r="I54" s="90" t="n">
        <v>0.265</v>
      </c>
    </row>
    <row r="55" customFormat="false" ht="15" hidden="false" customHeight="false" outlineLevel="0" collapsed="false">
      <c r="A55" s="88" t="s">
        <v>134</v>
      </c>
      <c r="B55" s="97" t="n">
        <v>1</v>
      </c>
      <c r="C55" s="88" t="s">
        <v>365</v>
      </c>
      <c r="D55" s="88" t="s">
        <v>349</v>
      </c>
      <c r="E55" s="98" t="n">
        <v>92.77</v>
      </c>
      <c r="F55" s="102" t="n">
        <f aca="false">$E55*Parametros!$C$22</f>
        <v>445.296</v>
      </c>
      <c r="G55" s="90" t="n">
        <v>11.3</v>
      </c>
      <c r="H55" s="102" t="n">
        <f aca="false">$E55*Parametros!$C$23</f>
        <v>55.662</v>
      </c>
      <c r="I55" s="90" t="n">
        <v>1.36</v>
      </c>
    </row>
    <row r="56" customFormat="false" ht="15" hidden="false" customHeight="false" outlineLevel="0" collapsed="false">
      <c r="A56" s="88" t="s">
        <v>134</v>
      </c>
      <c r="B56" s="97" t="n">
        <v>1</v>
      </c>
      <c r="C56" s="88" t="s">
        <v>365</v>
      </c>
      <c r="D56" s="88" t="s">
        <v>350</v>
      </c>
      <c r="E56" s="98" t="n">
        <v>92.77</v>
      </c>
      <c r="F56" s="102" t="n">
        <f aca="false">$E56*Parametros!$C$22</f>
        <v>445.296</v>
      </c>
      <c r="G56" s="90"/>
      <c r="H56" s="102" t="n">
        <f aca="false">$E56*Parametros!$C$23</f>
        <v>55.662</v>
      </c>
      <c r="I56" s="90" t="n">
        <v>0.116</v>
      </c>
    </row>
    <row r="57" customFormat="false" ht="15" hidden="false" customHeight="false" outlineLevel="0" collapsed="false">
      <c r="A57" s="88" t="s">
        <v>134</v>
      </c>
      <c r="B57" s="97" t="n">
        <v>1</v>
      </c>
      <c r="C57" s="88" t="s">
        <v>365</v>
      </c>
      <c r="D57" s="88" t="s">
        <v>351</v>
      </c>
      <c r="E57" s="98" t="n">
        <v>92.77</v>
      </c>
      <c r="F57" s="102" t="n">
        <f aca="false">$E57*Parametros!$C$22</f>
        <v>445.296</v>
      </c>
      <c r="G57" s="90" t="n">
        <v>5.73</v>
      </c>
      <c r="H57" s="102" t="n">
        <f aca="false">$E57*Parametros!$C$23</f>
        <v>55.662</v>
      </c>
      <c r="I57" s="90" t="n">
        <v>0.0959</v>
      </c>
    </row>
    <row r="58" customFormat="false" ht="15" hidden="false" customHeight="false" outlineLevel="0" collapsed="false">
      <c r="A58" s="88" t="s">
        <v>134</v>
      </c>
      <c r="B58" s="97" t="n">
        <v>1</v>
      </c>
      <c r="C58" s="88" t="s">
        <v>365</v>
      </c>
      <c r="D58" s="88" t="s">
        <v>352</v>
      </c>
      <c r="E58" s="98" t="n">
        <v>92.77</v>
      </c>
      <c r="F58" s="102" t="n">
        <f aca="false">$E58*Parametros!$C$22</f>
        <v>445.296</v>
      </c>
      <c r="G58" s="90"/>
      <c r="H58" s="102" t="n">
        <f aca="false">$E58*Parametros!$C$23</f>
        <v>55.662</v>
      </c>
      <c r="I58" s="90" t="n">
        <v>0.769</v>
      </c>
    </row>
    <row r="59" customFormat="false" ht="15" hidden="false" customHeight="false" outlineLevel="0" collapsed="false">
      <c r="A59" s="88" t="s">
        <v>134</v>
      </c>
      <c r="B59" s="97" t="n">
        <v>1</v>
      </c>
      <c r="C59" s="88" t="s">
        <v>365</v>
      </c>
      <c r="D59" s="88" t="s">
        <v>353</v>
      </c>
      <c r="E59" s="98" t="n">
        <v>92.77</v>
      </c>
      <c r="F59" s="102" t="n">
        <f aca="false">$E59*Parametros!$C$22</f>
        <v>445.296</v>
      </c>
      <c r="G59" s="90"/>
      <c r="H59" s="102" t="n">
        <f aca="false">$E59*Parametros!$C$23</f>
        <v>55.662</v>
      </c>
      <c r="I59" s="90" t="n">
        <v>0.0946</v>
      </c>
    </row>
    <row r="60" customFormat="false" ht="15" hidden="false" customHeight="false" outlineLevel="0" collapsed="false">
      <c r="A60" s="88" t="s">
        <v>134</v>
      </c>
      <c r="B60" s="97" t="n">
        <v>1</v>
      </c>
      <c r="C60" s="88" t="s">
        <v>365</v>
      </c>
      <c r="D60" s="88" t="s">
        <v>354</v>
      </c>
      <c r="E60" s="98" t="n">
        <v>92.77</v>
      </c>
      <c r="F60" s="102" t="n">
        <f aca="false">$E60*Parametros!$C$22</f>
        <v>445.296</v>
      </c>
      <c r="G60" s="90"/>
      <c r="H60" s="102" t="n">
        <f aca="false">$E60*Parametros!$C$23</f>
        <v>55.662</v>
      </c>
      <c r="I60" s="90" t="n">
        <v>0.0662</v>
      </c>
    </row>
    <row r="61" customFormat="false" ht="15" hidden="false" customHeight="false" outlineLevel="0" collapsed="false">
      <c r="A61" s="88" t="s">
        <v>134</v>
      </c>
      <c r="B61" s="97" t="n">
        <v>1</v>
      </c>
      <c r="C61" s="88" t="s">
        <v>365</v>
      </c>
      <c r="D61" s="88" t="s">
        <v>355</v>
      </c>
      <c r="E61" s="98" t="n">
        <v>92.77</v>
      </c>
      <c r="F61" s="102" t="n">
        <f aca="false">$E61*Parametros!$C$22</f>
        <v>445.296</v>
      </c>
      <c r="G61" s="90"/>
      <c r="H61" s="102" t="n">
        <f aca="false">$E61*Parametros!$C$23</f>
        <v>55.662</v>
      </c>
      <c r="I61" s="90" t="n">
        <v>0.0662</v>
      </c>
    </row>
    <row r="62" customFormat="false" ht="15" hidden="false" customHeight="false" outlineLevel="0" collapsed="false">
      <c r="A62" s="88" t="s">
        <v>134</v>
      </c>
      <c r="B62" s="97" t="n">
        <v>1</v>
      </c>
      <c r="C62" s="88" t="s">
        <v>365</v>
      </c>
      <c r="D62" s="88" t="s">
        <v>356</v>
      </c>
      <c r="E62" s="98" t="n">
        <v>92.77</v>
      </c>
      <c r="F62" s="102" t="n">
        <f aca="false">$E62*Parametros!$C$22</f>
        <v>445.296</v>
      </c>
      <c r="G62" s="90"/>
      <c r="H62" s="102" t="n">
        <f aca="false">$E62*Parametros!$C$23</f>
        <v>55.662</v>
      </c>
      <c r="I62" s="90" t="n">
        <v>0.157</v>
      </c>
    </row>
    <row r="63" customFormat="false" ht="15" hidden="false" customHeight="false" outlineLevel="0" collapsed="false">
      <c r="A63" s="88" t="s">
        <v>134</v>
      </c>
      <c r="B63" s="97" t="n">
        <v>1</v>
      </c>
      <c r="C63" s="88" t="s">
        <v>365</v>
      </c>
      <c r="D63" s="88" t="s">
        <v>357</v>
      </c>
      <c r="E63" s="98" t="n">
        <v>92.77</v>
      </c>
      <c r="F63" s="102" t="n">
        <f aca="false">$E63*Parametros!$C$22</f>
        <v>445.296</v>
      </c>
      <c r="G63" s="90" t="n">
        <v>4.3</v>
      </c>
      <c r="H63" s="102" t="n">
        <f aca="false">$E63*Parametros!$C$23</f>
        <v>55.662</v>
      </c>
      <c r="I63" s="90" t="n">
        <v>0.44</v>
      </c>
    </row>
    <row r="64" customFormat="false" ht="15" hidden="false" customHeight="false" outlineLevel="0" collapsed="false">
      <c r="A64" s="88" t="s">
        <v>134</v>
      </c>
      <c r="B64" s="97" t="n">
        <v>1</v>
      </c>
      <c r="C64" s="88" t="s">
        <v>365</v>
      </c>
      <c r="D64" s="88" t="s">
        <v>358</v>
      </c>
      <c r="E64" s="98" t="n">
        <v>92.77</v>
      </c>
      <c r="F64" s="102" t="n">
        <f aca="false">$E64*Parametros!$C$22</f>
        <v>445.296</v>
      </c>
      <c r="G64" s="90"/>
      <c r="H64" s="102" t="n">
        <f aca="false">$E64*Parametros!$C$23</f>
        <v>55.662</v>
      </c>
      <c r="I64" s="90" t="n">
        <v>0.0662</v>
      </c>
    </row>
    <row r="65" customFormat="false" ht="15" hidden="false" customHeight="false" outlineLevel="0" collapsed="false">
      <c r="A65" s="88" t="s">
        <v>134</v>
      </c>
      <c r="B65" s="97" t="n">
        <v>1</v>
      </c>
      <c r="C65" s="88" t="s">
        <v>365</v>
      </c>
      <c r="D65" s="88" t="s">
        <v>359</v>
      </c>
      <c r="E65" s="98" t="n">
        <v>92.77</v>
      </c>
      <c r="F65" s="102" t="n">
        <f aca="false">$E65*Parametros!$C$22</f>
        <v>445.296</v>
      </c>
      <c r="G65" s="90" t="n">
        <v>2.17</v>
      </c>
      <c r="H65" s="102" t="n">
        <f aca="false">$E65*Parametros!$C$23</f>
        <v>55.662</v>
      </c>
      <c r="I65" s="90" t="n">
        <v>0.162</v>
      </c>
    </row>
    <row r="66" customFormat="false" ht="15" hidden="false" customHeight="false" outlineLevel="0" collapsed="false">
      <c r="A66" s="88" t="s">
        <v>134</v>
      </c>
      <c r="B66" s="97" t="n">
        <v>1</v>
      </c>
      <c r="C66" s="88" t="s">
        <v>365</v>
      </c>
      <c r="D66" s="88" t="s">
        <v>360</v>
      </c>
      <c r="E66" s="98" t="n">
        <v>92.77</v>
      </c>
      <c r="F66" s="102" t="n">
        <f aca="false">$E66*Parametros!$C$22</f>
        <v>445.296</v>
      </c>
      <c r="G66" s="90"/>
      <c r="H66" s="102" t="n">
        <f aca="false">$E66*Parametros!$C$23</f>
        <v>55.662</v>
      </c>
      <c r="I66" s="90" t="n">
        <v>0.707</v>
      </c>
    </row>
    <row r="67" customFormat="false" ht="15" hidden="false" customHeight="false" outlineLevel="0" collapsed="false">
      <c r="A67" s="88" t="s">
        <v>134</v>
      </c>
      <c r="B67" s="97" t="n">
        <v>1</v>
      </c>
      <c r="C67" s="88" t="s">
        <v>365</v>
      </c>
      <c r="D67" s="88" t="s">
        <v>361</v>
      </c>
      <c r="E67" s="98" t="n">
        <v>92.77</v>
      </c>
      <c r="F67" s="102" t="n">
        <f aca="false">$E67*Parametros!$C$22</f>
        <v>445.296</v>
      </c>
      <c r="G67" s="90" t="n">
        <v>1.99</v>
      </c>
      <c r="H67" s="102" t="n">
        <f aca="false">$E67*Parametros!$C$23</f>
        <v>55.662</v>
      </c>
      <c r="I67" s="90" t="n">
        <v>0.0509</v>
      </c>
    </row>
    <row r="68" customFormat="false" ht="15" hidden="false" customHeight="false" outlineLevel="0" collapsed="false">
      <c r="A68" s="88" t="s">
        <v>134</v>
      </c>
      <c r="B68" s="97" t="n">
        <v>1</v>
      </c>
      <c r="C68" s="88" t="s">
        <v>365</v>
      </c>
      <c r="D68" s="88" t="s">
        <v>362</v>
      </c>
      <c r="E68" s="98" t="n">
        <v>92.77</v>
      </c>
      <c r="F68" s="102" t="n">
        <f aca="false">$E68*Parametros!$C$22</f>
        <v>445.296</v>
      </c>
      <c r="G68" s="90"/>
      <c r="H68" s="102" t="n">
        <f aca="false">$E68*Parametros!$C$23</f>
        <v>55.662</v>
      </c>
      <c r="I68" s="90" t="n">
        <v>0.0509</v>
      </c>
    </row>
    <row r="69" customFormat="false" ht="15" hidden="false" customHeight="false" outlineLevel="0" collapsed="false">
      <c r="A69" s="88" t="s">
        <v>134</v>
      </c>
      <c r="B69" s="97" t="n">
        <v>2</v>
      </c>
      <c r="C69" s="88" t="s">
        <v>366</v>
      </c>
      <c r="D69" s="88" t="s">
        <v>347</v>
      </c>
      <c r="E69" s="98" t="n">
        <v>2041.48</v>
      </c>
      <c r="F69" s="102" t="n">
        <f aca="false">$E69*Parametros!$C$22</f>
        <v>9799.104</v>
      </c>
      <c r="G69" s="90"/>
      <c r="H69" s="102" t="n">
        <f aca="false">$E69*Parametros!$C$23</f>
        <v>1224.888</v>
      </c>
      <c r="I69" s="90" t="n">
        <v>0.982</v>
      </c>
    </row>
    <row r="70" customFormat="false" ht="15" hidden="false" customHeight="false" outlineLevel="0" collapsed="false">
      <c r="A70" s="88" t="s">
        <v>134</v>
      </c>
      <c r="B70" s="97" t="n">
        <v>2</v>
      </c>
      <c r="C70" s="88" t="s">
        <v>366</v>
      </c>
      <c r="D70" s="88" t="s">
        <v>348</v>
      </c>
      <c r="E70" s="98" t="n">
        <v>2041.48</v>
      </c>
      <c r="F70" s="102" t="n">
        <f aca="false">$E70*Parametros!$C$22</f>
        <v>9799.104</v>
      </c>
      <c r="G70" s="90" t="n">
        <v>1.06</v>
      </c>
      <c r="H70" s="102" t="n">
        <f aca="false">$E70*Parametros!$C$23</f>
        <v>1224.888</v>
      </c>
      <c r="I70" s="90" t="n">
        <v>0.108</v>
      </c>
    </row>
    <row r="71" customFormat="false" ht="15" hidden="false" customHeight="false" outlineLevel="0" collapsed="false">
      <c r="A71" s="88" t="s">
        <v>134</v>
      </c>
      <c r="B71" s="97" t="n">
        <v>2</v>
      </c>
      <c r="C71" s="88" t="s">
        <v>366</v>
      </c>
      <c r="D71" s="88" t="s">
        <v>349</v>
      </c>
      <c r="E71" s="98" t="n">
        <v>2041.48</v>
      </c>
      <c r="F71" s="102" t="n">
        <f aca="false">$E71*Parametros!$C$22</f>
        <v>9799.104</v>
      </c>
      <c r="G71" s="90" t="n">
        <v>2.8</v>
      </c>
      <c r="H71" s="102" t="n">
        <f aca="false">$E71*Parametros!$C$23</f>
        <v>1224.888</v>
      </c>
      <c r="I71" s="90" t="n">
        <v>0.0946</v>
      </c>
    </row>
    <row r="72" customFormat="false" ht="15" hidden="false" customHeight="false" outlineLevel="0" collapsed="false">
      <c r="A72" s="88" t="s">
        <v>134</v>
      </c>
      <c r="B72" s="97" t="n">
        <v>2</v>
      </c>
      <c r="C72" s="88" t="s">
        <v>366</v>
      </c>
      <c r="D72" s="88" t="s">
        <v>350</v>
      </c>
      <c r="E72" s="98" t="n">
        <v>2041.48</v>
      </c>
      <c r="F72" s="102" t="n">
        <f aca="false">$E72*Parametros!$C$22</f>
        <v>9799.104</v>
      </c>
      <c r="G72" s="90"/>
      <c r="H72" s="102" t="n">
        <f aca="false">$E72*Parametros!$C$23</f>
        <v>1224.888</v>
      </c>
      <c r="I72" s="90" t="n">
        <v>0.173</v>
      </c>
    </row>
    <row r="73" customFormat="false" ht="15" hidden="false" customHeight="false" outlineLevel="0" collapsed="false">
      <c r="A73" s="88" t="s">
        <v>134</v>
      </c>
      <c r="B73" s="97" t="n">
        <v>2</v>
      </c>
      <c r="C73" s="88" t="s">
        <v>366</v>
      </c>
      <c r="D73" s="88" t="s">
        <v>351</v>
      </c>
      <c r="E73" s="98" t="n">
        <v>2041.48</v>
      </c>
      <c r="F73" s="102" t="n">
        <f aca="false">$E73*Parametros!$C$22</f>
        <v>9799.104</v>
      </c>
      <c r="G73" s="90" t="n">
        <v>2.75</v>
      </c>
      <c r="H73" s="102" t="n">
        <f aca="false">$E73*Parametros!$C$23</f>
        <v>1224.888</v>
      </c>
      <c r="I73" s="90" t="n">
        <v>0.0959</v>
      </c>
    </row>
    <row r="74" customFormat="false" ht="15" hidden="false" customHeight="false" outlineLevel="0" collapsed="false">
      <c r="A74" s="88" t="s">
        <v>134</v>
      </c>
      <c r="B74" s="97" t="n">
        <v>2</v>
      </c>
      <c r="C74" s="88" t="s">
        <v>366</v>
      </c>
      <c r="D74" s="88" t="s">
        <v>352</v>
      </c>
      <c r="E74" s="98" t="n">
        <v>2041.48</v>
      </c>
      <c r="F74" s="102" t="n">
        <f aca="false">$E74*Parametros!$C$22</f>
        <v>9799.104</v>
      </c>
      <c r="G74" s="90"/>
      <c r="H74" s="102" t="n">
        <f aca="false">$E74*Parametros!$C$23</f>
        <v>1224.888</v>
      </c>
      <c r="I74" s="90" t="n">
        <v>0.178</v>
      </c>
    </row>
    <row r="75" customFormat="false" ht="15" hidden="false" customHeight="false" outlineLevel="0" collapsed="false">
      <c r="A75" s="88" t="s">
        <v>134</v>
      </c>
      <c r="B75" s="97" t="n">
        <v>2</v>
      </c>
      <c r="C75" s="88" t="s">
        <v>366</v>
      </c>
      <c r="D75" s="88" t="s">
        <v>353</v>
      </c>
      <c r="E75" s="98" t="n">
        <v>2041.48</v>
      </c>
      <c r="F75" s="102" t="n">
        <f aca="false">$E75*Parametros!$C$22</f>
        <v>9799.104</v>
      </c>
      <c r="G75" s="90"/>
      <c r="H75" s="102" t="n">
        <f aca="false">$E75*Parametros!$C$23</f>
        <v>1224.888</v>
      </c>
      <c r="I75" s="90" t="n">
        <v>0.23</v>
      </c>
    </row>
    <row r="76" customFormat="false" ht="15" hidden="false" customHeight="false" outlineLevel="0" collapsed="false">
      <c r="A76" s="88" t="s">
        <v>134</v>
      </c>
      <c r="B76" s="97" t="n">
        <v>2</v>
      </c>
      <c r="C76" s="88" t="s">
        <v>366</v>
      </c>
      <c r="D76" s="88" t="s">
        <v>354</v>
      </c>
      <c r="E76" s="98" t="n">
        <v>2041.48</v>
      </c>
      <c r="F76" s="102" t="n">
        <f aca="false">$E76*Parametros!$C$22</f>
        <v>9799.104</v>
      </c>
      <c r="G76" s="90"/>
      <c r="H76" s="102" t="n">
        <f aca="false">$E76*Parametros!$C$23</f>
        <v>1224.888</v>
      </c>
      <c r="I76" s="90" t="n">
        <v>0.246</v>
      </c>
    </row>
    <row r="77" customFormat="false" ht="15" hidden="false" customHeight="false" outlineLevel="0" collapsed="false">
      <c r="A77" s="88" t="s">
        <v>134</v>
      </c>
      <c r="B77" s="97" t="n">
        <v>2</v>
      </c>
      <c r="C77" s="88" t="s">
        <v>366</v>
      </c>
      <c r="D77" s="88" t="s">
        <v>355</v>
      </c>
      <c r="E77" s="98" t="n">
        <v>2041.48</v>
      </c>
      <c r="F77" s="102" t="n">
        <f aca="false">$E77*Parametros!$C$22</f>
        <v>9799.104</v>
      </c>
      <c r="G77" s="90"/>
      <c r="H77" s="102" t="n">
        <f aca="false">$E77*Parametros!$C$23</f>
        <v>1224.888</v>
      </c>
      <c r="I77" s="90" t="n">
        <v>0.153</v>
      </c>
    </row>
    <row r="78" customFormat="false" ht="15" hidden="false" customHeight="false" outlineLevel="0" collapsed="false">
      <c r="A78" s="88" t="s">
        <v>134</v>
      </c>
      <c r="B78" s="97" t="n">
        <v>2</v>
      </c>
      <c r="C78" s="88" t="s">
        <v>366</v>
      </c>
      <c r="D78" s="88" t="s">
        <v>356</v>
      </c>
      <c r="E78" s="98" t="n">
        <v>2041.48</v>
      </c>
      <c r="F78" s="102" t="n">
        <f aca="false">$E78*Parametros!$C$22</f>
        <v>9799.104</v>
      </c>
      <c r="G78" s="90"/>
      <c r="H78" s="102" t="n">
        <f aca="false">$E78*Parametros!$C$23</f>
        <v>1224.888</v>
      </c>
      <c r="I78" s="90" t="n">
        <v>0.0946</v>
      </c>
    </row>
    <row r="79" customFormat="false" ht="15" hidden="false" customHeight="false" outlineLevel="0" collapsed="false">
      <c r="A79" s="88" t="s">
        <v>134</v>
      </c>
      <c r="B79" s="97" t="n">
        <v>2</v>
      </c>
      <c r="C79" s="88" t="s">
        <v>366</v>
      </c>
      <c r="D79" s="88" t="s">
        <v>357</v>
      </c>
      <c r="E79" s="98" t="n">
        <v>2041.48</v>
      </c>
      <c r="F79" s="102" t="n">
        <f aca="false">$E79*Parametros!$C$22</f>
        <v>9799.104</v>
      </c>
      <c r="G79" s="90" t="n">
        <v>1.5</v>
      </c>
      <c r="H79" s="102" t="n">
        <f aca="false">$E79*Parametros!$C$23</f>
        <v>1224.888</v>
      </c>
      <c r="I79" s="90" t="n">
        <v>0.17</v>
      </c>
    </row>
    <row r="80" customFormat="false" ht="15" hidden="false" customHeight="false" outlineLevel="0" collapsed="false">
      <c r="A80" s="88" t="s">
        <v>134</v>
      </c>
      <c r="B80" s="97" t="n">
        <v>2</v>
      </c>
      <c r="C80" s="88" t="s">
        <v>366</v>
      </c>
      <c r="D80" s="88" t="s">
        <v>358</v>
      </c>
      <c r="E80" s="98" t="n">
        <v>2041.48</v>
      </c>
      <c r="F80" s="102" t="n">
        <f aca="false">$E80*Parametros!$C$22</f>
        <v>9799.104</v>
      </c>
      <c r="G80" s="90"/>
      <c r="H80" s="102" t="n">
        <f aca="false">$E80*Parametros!$C$23</f>
        <v>1224.888</v>
      </c>
      <c r="I80" s="90" t="n">
        <v>0.151</v>
      </c>
    </row>
    <row r="81" customFormat="false" ht="15" hidden="false" customHeight="false" outlineLevel="0" collapsed="false">
      <c r="A81" s="88" t="s">
        <v>134</v>
      </c>
      <c r="B81" s="97" t="n">
        <v>2</v>
      </c>
      <c r="C81" s="88" t="s">
        <v>366</v>
      </c>
      <c r="D81" s="88" t="s">
        <v>359</v>
      </c>
      <c r="E81" s="98" t="n">
        <v>2041.48</v>
      </c>
      <c r="F81" s="102" t="n">
        <f aca="false">$E81*Parametros!$C$22</f>
        <v>9799.104</v>
      </c>
      <c r="G81" s="90" t="n">
        <v>0.9</v>
      </c>
      <c r="H81" s="102" t="n">
        <f aca="false">$E81*Parametros!$C$23</f>
        <v>1224.888</v>
      </c>
      <c r="I81" s="90" t="n">
        <v>0.173</v>
      </c>
    </row>
    <row r="82" customFormat="false" ht="15" hidden="false" customHeight="false" outlineLevel="0" collapsed="false">
      <c r="A82" s="88" t="s">
        <v>134</v>
      </c>
      <c r="B82" s="97" t="n">
        <v>2</v>
      </c>
      <c r="C82" s="88" t="s">
        <v>366</v>
      </c>
      <c r="D82" s="88" t="s">
        <v>360</v>
      </c>
      <c r="E82" s="98" t="n">
        <v>2041.48</v>
      </c>
      <c r="F82" s="102" t="n">
        <f aca="false">$E82*Parametros!$C$22</f>
        <v>9799.104</v>
      </c>
      <c r="G82" s="90"/>
      <c r="H82" s="102" t="n">
        <f aca="false">$E82*Parametros!$C$23</f>
        <v>1224.888</v>
      </c>
      <c r="I82" s="90" t="n">
        <v>0.0959</v>
      </c>
    </row>
    <row r="83" customFormat="false" ht="15" hidden="false" customHeight="false" outlineLevel="0" collapsed="false">
      <c r="A83" s="88" t="s">
        <v>134</v>
      </c>
      <c r="B83" s="97" t="n">
        <v>2</v>
      </c>
      <c r="C83" s="88" t="s">
        <v>366</v>
      </c>
      <c r="D83" s="88" t="s">
        <v>361</v>
      </c>
      <c r="E83" s="98" t="n">
        <v>2041.48</v>
      </c>
      <c r="F83" s="102" t="n">
        <f aca="false">$E83*Parametros!$C$22</f>
        <v>9799.104</v>
      </c>
      <c r="G83" s="90" t="n">
        <v>4.11</v>
      </c>
      <c r="H83" s="102" t="n">
        <f aca="false">$E83*Parametros!$C$23</f>
        <v>1224.888</v>
      </c>
      <c r="I83" s="90" t="n">
        <v>0.441</v>
      </c>
    </row>
    <row r="84" customFormat="false" ht="15" hidden="false" customHeight="false" outlineLevel="0" collapsed="false">
      <c r="A84" s="88" t="s">
        <v>134</v>
      </c>
      <c r="B84" s="97" t="n">
        <v>2</v>
      </c>
      <c r="C84" s="88" t="s">
        <v>366</v>
      </c>
      <c r="D84" s="88" t="s">
        <v>362</v>
      </c>
      <c r="E84" s="98" t="n">
        <v>2041.48</v>
      </c>
      <c r="F84" s="102" t="n">
        <f aca="false">$E84*Parametros!$C$22</f>
        <v>9799.104</v>
      </c>
      <c r="G84" s="90"/>
      <c r="H84" s="102" t="n">
        <f aca="false">$E84*Parametros!$C$23</f>
        <v>1224.888</v>
      </c>
      <c r="I84" s="90" t="n">
        <v>0.175</v>
      </c>
    </row>
    <row r="85" customFormat="false" ht="22.35" hidden="false" customHeight="false" outlineLevel="0" collapsed="false">
      <c r="A85" s="88" t="s">
        <v>134</v>
      </c>
      <c r="B85" s="97" t="n">
        <v>3</v>
      </c>
      <c r="C85" s="88" t="s">
        <v>367</v>
      </c>
      <c r="D85" s="88" t="s">
        <v>347</v>
      </c>
      <c r="E85" s="98" t="n">
        <v>4990</v>
      </c>
      <c r="F85" s="102" t="n">
        <f aca="false">$E85*Parametros!$C$22</f>
        <v>23952</v>
      </c>
      <c r="G85" s="90"/>
      <c r="H85" s="102" t="n">
        <f aca="false">$E85*Parametros!$C$23</f>
        <v>2994</v>
      </c>
      <c r="I85" s="90" t="n">
        <v>1.11</v>
      </c>
    </row>
    <row r="86" customFormat="false" ht="22.35" hidden="false" customHeight="false" outlineLevel="0" collapsed="false">
      <c r="A86" s="88" t="s">
        <v>134</v>
      </c>
      <c r="B86" s="97" t="n">
        <v>3</v>
      </c>
      <c r="C86" s="88" t="s">
        <v>367</v>
      </c>
      <c r="D86" s="88" t="s">
        <v>348</v>
      </c>
      <c r="E86" s="98" t="n">
        <v>4990</v>
      </c>
      <c r="F86" s="102" t="n">
        <f aca="false">$E86*Parametros!$C$22</f>
        <v>23952</v>
      </c>
      <c r="G86" s="90" t="n">
        <v>2.21</v>
      </c>
      <c r="H86" s="102" t="n">
        <f aca="false">$E86*Parametros!$C$23</f>
        <v>2994</v>
      </c>
      <c r="I86" s="90" t="n">
        <v>0.321</v>
      </c>
    </row>
    <row r="87" customFormat="false" ht="22.35" hidden="false" customHeight="false" outlineLevel="0" collapsed="false">
      <c r="A87" s="88" t="s">
        <v>134</v>
      </c>
      <c r="B87" s="97" t="n">
        <v>3</v>
      </c>
      <c r="C87" s="88" t="s">
        <v>367</v>
      </c>
      <c r="D87" s="88" t="s">
        <v>351</v>
      </c>
      <c r="E87" s="98" t="n">
        <v>4990</v>
      </c>
      <c r="F87" s="102" t="n">
        <f aca="false">$E87*Parametros!$C$22</f>
        <v>23952</v>
      </c>
      <c r="G87" s="90" t="n">
        <v>2.39</v>
      </c>
      <c r="H87" s="102" t="n">
        <f aca="false">$E87*Parametros!$C$23</f>
        <v>2994</v>
      </c>
      <c r="I87" s="90" t="n">
        <v>0.0959</v>
      </c>
    </row>
    <row r="88" customFormat="false" ht="22.35" hidden="false" customHeight="false" outlineLevel="0" collapsed="false">
      <c r="A88" s="88" t="s">
        <v>134</v>
      </c>
      <c r="B88" s="97" t="n">
        <v>3</v>
      </c>
      <c r="C88" s="88" t="s">
        <v>367</v>
      </c>
      <c r="D88" s="88" t="s">
        <v>353</v>
      </c>
      <c r="E88" s="98" t="n">
        <v>4990</v>
      </c>
      <c r="F88" s="102" t="n">
        <f aca="false">$E88*Parametros!$C$22</f>
        <v>23952</v>
      </c>
      <c r="G88" s="90"/>
      <c r="H88" s="102" t="n">
        <f aca="false">$E88*Parametros!$C$23</f>
        <v>2994</v>
      </c>
      <c r="I88" s="90" t="n">
        <v>0.357</v>
      </c>
    </row>
    <row r="89" customFormat="false" ht="22.35" hidden="false" customHeight="false" outlineLevel="0" collapsed="false">
      <c r="A89" s="88" t="s">
        <v>134</v>
      </c>
      <c r="B89" s="97" t="n">
        <v>3</v>
      </c>
      <c r="C89" s="88" t="s">
        <v>367</v>
      </c>
      <c r="D89" s="88" t="s">
        <v>354</v>
      </c>
      <c r="E89" s="98" t="n">
        <v>4990</v>
      </c>
      <c r="F89" s="102" t="n">
        <f aca="false">$E89*Parametros!$C$22</f>
        <v>23952</v>
      </c>
      <c r="G89" s="90"/>
      <c r="H89" s="102" t="n">
        <f aca="false">$E89*Parametros!$C$23</f>
        <v>2994</v>
      </c>
      <c r="I89" s="90" t="n">
        <v>0.377</v>
      </c>
    </row>
    <row r="90" customFormat="false" ht="22.35" hidden="false" customHeight="false" outlineLevel="0" collapsed="false">
      <c r="A90" s="88" t="s">
        <v>134</v>
      </c>
      <c r="B90" s="97" t="n">
        <v>3</v>
      </c>
      <c r="C90" s="88" t="s">
        <v>367</v>
      </c>
      <c r="D90" s="88" t="s">
        <v>355</v>
      </c>
      <c r="E90" s="98" t="n">
        <v>4990</v>
      </c>
      <c r="F90" s="102" t="n">
        <f aca="false">$E90*Parametros!$C$22</f>
        <v>23952</v>
      </c>
      <c r="G90" s="90"/>
      <c r="H90" s="102" t="n">
        <f aca="false">$E90*Parametros!$C$23</f>
        <v>2994</v>
      </c>
      <c r="I90" s="90" t="n">
        <v>0.405</v>
      </c>
    </row>
    <row r="91" customFormat="false" ht="22.35" hidden="false" customHeight="false" outlineLevel="0" collapsed="false">
      <c r="A91" s="88" t="s">
        <v>134</v>
      </c>
      <c r="B91" s="97" t="n">
        <v>3</v>
      </c>
      <c r="C91" s="88" t="s">
        <v>367</v>
      </c>
      <c r="D91" s="88" t="s">
        <v>356</v>
      </c>
      <c r="E91" s="98" t="n">
        <v>4990</v>
      </c>
      <c r="F91" s="102" t="n">
        <f aca="false">$E91*Parametros!$C$22</f>
        <v>23952</v>
      </c>
      <c r="G91" s="90"/>
      <c r="H91" s="102" t="n">
        <f aca="false">$E91*Parametros!$C$23</f>
        <v>2994</v>
      </c>
      <c r="I91" s="90" t="n">
        <v>0.452</v>
      </c>
    </row>
    <row r="92" customFormat="false" ht="22.35" hidden="false" customHeight="false" outlineLevel="0" collapsed="false">
      <c r="A92" s="88" t="s">
        <v>134</v>
      </c>
      <c r="B92" s="97" t="n">
        <v>3</v>
      </c>
      <c r="C92" s="88" t="s">
        <v>367</v>
      </c>
      <c r="D92" s="88" t="s">
        <v>358</v>
      </c>
      <c r="E92" s="98" t="n">
        <v>4990</v>
      </c>
      <c r="F92" s="102" t="n">
        <f aca="false">$E92*Parametros!$C$22</f>
        <v>23952</v>
      </c>
      <c r="G92" s="90"/>
      <c r="H92" s="102" t="n">
        <f aca="false">$E92*Parametros!$C$23</f>
        <v>2994</v>
      </c>
      <c r="I92" s="90" t="n">
        <v>0.506</v>
      </c>
    </row>
    <row r="93" customFormat="false" ht="22.35" hidden="false" customHeight="false" outlineLevel="0" collapsed="false">
      <c r="A93" s="88" t="s">
        <v>134</v>
      </c>
      <c r="B93" s="97" t="n">
        <v>3</v>
      </c>
      <c r="C93" s="88" t="s">
        <v>367</v>
      </c>
      <c r="D93" s="88" t="s">
        <v>359</v>
      </c>
      <c r="E93" s="98" t="n">
        <v>4990</v>
      </c>
      <c r="F93" s="102" t="n">
        <f aca="false">$E93*Parametros!$C$22</f>
        <v>23952</v>
      </c>
      <c r="G93" s="90" t="n">
        <v>2.74</v>
      </c>
      <c r="H93" s="102" t="n">
        <f aca="false">$E93*Parametros!$C$23</f>
        <v>2994</v>
      </c>
      <c r="I93" s="90" t="n">
        <v>0.373</v>
      </c>
    </row>
    <row r="94" customFormat="false" ht="22.35" hidden="false" customHeight="false" outlineLevel="0" collapsed="false">
      <c r="A94" s="88" t="s">
        <v>134</v>
      </c>
      <c r="B94" s="97" t="n">
        <v>3</v>
      </c>
      <c r="C94" s="88" t="s">
        <v>367</v>
      </c>
      <c r="D94" s="88" t="s">
        <v>360</v>
      </c>
      <c r="E94" s="98" t="n">
        <v>4990</v>
      </c>
      <c r="F94" s="102" t="n">
        <f aca="false">$E94*Parametros!$C$22</f>
        <v>23952</v>
      </c>
      <c r="G94" s="90"/>
      <c r="H94" s="102" t="n">
        <f aca="false">$E94*Parametros!$C$23</f>
        <v>2994</v>
      </c>
      <c r="I94" s="90" t="n">
        <v>0.0959</v>
      </c>
    </row>
    <row r="95" customFormat="false" ht="22.35" hidden="false" customHeight="false" outlineLevel="0" collapsed="false">
      <c r="A95" s="88" t="s">
        <v>134</v>
      </c>
      <c r="B95" s="97" t="n">
        <v>3</v>
      </c>
      <c r="C95" s="88" t="s">
        <v>367</v>
      </c>
      <c r="D95" s="88" t="s">
        <v>361</v>
      </c>
      <c r="E95" s="98" t="n">
        <v>4990</v>
      </c>
      <c r="F95" s="102" t="n">
        <f aca="false">$E95*Parametros!$C$22</f>
        <v>23952</v>
      </c>
      <c r="G95" s="90" t="n">
        <v>4.3</v>
      </c>
      <c r="H95" s="102" t="n">
        <f aca="false">$E95*Parametros!$C$23</f>
        <v>2994</v>
      </c>
      <c r="I95" s="90" t="n">
        <v>0.539</v>
      </c>
    </row>
    <row r="96" customFormat="false" ht="15" hidden="false" customHeight="false" outlineLevel="0" collapsed="false">
      <c r="A96" s="88" t="s">
        <v>139</v>
      </c>
      <c r="B96" s="97" t="n">
        <v>2</v>
      </c>
      <c r="C96" s="88" t="s">
        <v>140</v>
      </c>
      <c r="D96" s="88" t="s">
        <v>347</v>
      </c>
      <c r="E96" s="98" t="n">
        <v>654.74</v>
      </c>
      <c r="F96" s="102" t="n">
        <f aca="false">$E96*Parametros!$C$22</f>
        <v>3142.752</v>
      </c>
      <c r="G96" s="90"/>
      <c r="H96" s="102" t="n">
        <f aca="false">$E96*Parametros!$C$23</f>
        <v>392.844</v>
      </c>
      <c r="I96" s="90" t="n">
        <v>0.549</v>
      </c>
    </row>
    <row r="97" customFormat="false" ht="15" hidden="false" customHeight="false" outlineLevel="0" collapsed="false">
      <c r="A97" s="88" t="s">
        <v>139</v>
      </c>
      <c r="B97" s="97" t="n">
        <v>2</v>
      </c>
      <c r="C97" s="88" t="s">
        <v>140</v>
      </c>
      <c r="D97" s="88" t="s">
        <v>348</v>
      </c>
      <c r="E97" s="98" t="n">
        <v>654.74</v>
      </c>
      <c r="F97" s="102" t="n">
        <f aca="false">$E97*Parametros!$C$22</f>
        <v>3142.752</v>
      </c>
      <c r="G97" s="90" t="n">
        <v>2.68</v>
      </c>
      <c r="H97" s="102" t="n">
        <f aca="false">$E97*Parametros!$C$23</f>
        <v>392.844</v>
      </c>
      <c r="I97" s="90" t="n">
        <v>0.409</v>
      </c>
    </row>
    <row r="98" customFormat="false" ht="15" hidden="false" customHeight="false" outlineLevel="0" collapsed="false">
      <c r="A98" s="88" t="s">
        <v>139</v>
      </c>
      <c r="B98" s="97" t="n">
        <v>2</v>
      </c>
      <c r="C98" s="88" t="s">
        <v>140</v>
      </c>
      <c r="D98" s="88" t="s">
        <v>349</v>
      </c>
      <c r="E98" s="98" t="n">
        <v>654.74</v>
      </c>
      <c r="F98" s="102" t="n">
        <f aca="false">$E98*Parametros!$C$22</f>
        <v>3142.752</v>
      </c>
      <c r="G98" s="90" t="n">
        <v>3.16</v>
      </c>
      <c r="H98" s="102" t="n">
        <f aca="false">$E98*Parametros!$C$23</f>
        <v>392.844</v>
      </c>
      <c r="I98" s="90" t="n">
        <v>0.12</v>
      </c>
    </row>
    <row r="99" customFormat="false" ht="15" hidden="false" customHeight="false" outlineLevel="0" collapsed="false">
      <c r="A99" s="88" t="s">
        <v>139</v>
      </c>
      <c r="B99" s="97" t="n">
        <v>2</v>
      </c>
      <c r="C99" s="88" t="s">
        <v>140</v>
      </c>
      <c r="D99" s="88" t="s">
        <v>350</v>
      </c>
      <c r="E99" s="98" t="n">
        <v>654.74</v>
      </c>
      <c r="F99" s="102" t="n">
        <f aca="false">$E99*Parametros!$C$22</f>
        <v>3142.752</v>
      </c>
      <c r="G99" s="90"/>
      <c r="H99" s="102" t="n">
        <f aca="false">$E99*Parametros!$C$23</f>
        <v>392.844</v>
      </c>
      <c r="I99" s="90" t="n">
        <v>0.439</v>
      </c>
    </row>
    <row r="100" customFormat="false" ht="15" hidden="false" customHeight="false" outlineLevel="0" collapsed="false">
      <c r="A100" s="88" t="s">
        <v>139</v>
      </c>
      <c r="B100" s="97" t="n">
        <v>2</v>
      </c>
      <c r="C100" s="88" t="s">
        <v>140</v>
      </c>
      <c r="D100" s="88" t="s">
        <v>351</v>
      </c>
      <c r="E100" s="98" t="n">
        <v>654.74</v>
      </c>
      <c r="F100" s="102" t="n">
        <f aca="false">$E100*Parametros!$C$22</f>
        <v>3142.752</v>
      </c>
      <c r="G100" s="90" t="n">
        <v>2.44</v>
      </c>
      <c r="H100" s="102" t="n">
        <f aca="false">$E100*Parametros!$C$23</f>
        <v>392.844</v>
      </c>
      <c r="I100" s="90" t="n">
        <v>0.0959</v>
      </c>
    </row>
    <row r="101" customFormat="false" ht="15" hidden="false" customHeight="false" outlineLevel="0" collapsed="false">
      <c r="A101" s="88" t="s">
        <v>139</v>
      </c>
      <c r="B101" s="97" t="n">
        <v>2</v>
      </c>
      <c r="C101" s="88" t="s">
        <v>140</v>
      </c>
      <c r="D101" s="88" t="s">
        <v>352</v>
      </c>
      <c r="E101" s="98" t="n">
        <v>654.74</v>
      </c>
      <c r="F101" s="102" t="n">
        <f aca="false">$E101*Parametros!$C$22</f>
        <v>3142.752</v>
      </c>
      <c r="G101" s="90"/>
      <c r="H101" s="102" t="n">
        <f aca="false">$E101*Parametros!$C$23</f>
        <v>392.844</v>
      </c>
      <c r="I101" s="90" t="n">
        <v>0.754</v>
      </c>
    </row>
    <row r="102" customFormat="false" ht="15" hidden="false" customHeight="false" outlineLevel="0" collapsed="false">
      <c r="A102" s="88" t="s">
        <v>139</v>
      </c>
      <c r="B102" s="97" t="n">
        <v>2</v>
      </c>
      <c r="C102" s="88" t="s">
        <v>140</v>
      </c>
      <c r="D102" s="88" t="s">
        <v>353</v>
      </c>
      <c r="E102" s="98" t="n">
        <v>654.74</v>
      </c>
      <c r="F102" s="102" t="n">
        <f aca="false">$E102*Parametros!$C$22</f>
        <v>3142.752</v>
      </c>
      <c r="G102" s="90"/>
      <c r="H102" s="102" t="n">
        <f aca="false">$E102*Parametros!$C$23</f>
        <v>392.844</v>
      </c>
      <c r="I102" s="90" t="n">
        <v>0.407</v>
      </c>
    </row>
    <row r="103" customFormat="false" ht="15" hidden="false" customHeight="false" outlineLevel="0" collapsed="false">
      <c r="A103" s="88" t="s">
        <v>139</v>
      </c>
      <c r="B103" s="97" t="n">
        <v>2</v>
      </c>
      <c r="C103" s="88" t="s">
        <v>140</v>
      </c>
      <c r="D103" s="88" t="s">
        <v>354</v>
      </c>
      <c r="E103" s="98" t="n">
        <v>654.74</v>
      </c>
      <c r="F103" s="102" t="n">
        <f aca="false">$E103*Parametros!$C$22</f>
        <v>3142.752</v>
      </c>
      <c r="G103" s="90"/>
      <c r="H103" s="102" t="n">
        <f aca="false">$E103*Parametros!$C$23</f>
        <v>392.844</v>
      </c>
      <c r="I103" s="90" t="n">
        <v>0.238</v>
      </c>
    </row>
    <row r="104" customFormat="false" ht="15" hidden="false" customHeight="false" outlineLevel="0" collapsed="false">
      <c r="A104" s="88" t="s">
        <v>139</v>
      </c>
      <c r="B104" s="97" t="n">
        <v>2</v>
      </c>
      <c r="C104" s="88" t="s">
        <v>140</v>
      </c>
      <c r="D104" s="88" t="s">
        <v>355</v>
      </c>
      <c r="E104" s="98" t="n">
        <v>654.74</v>
      </c>
      <c r="F104" s="102" t="n">
        <f aca="false">$E104*Parametros!$C$22</f>
        <v>3142.752</v>
      </c>
      <c r="G104" s="90"/>
      <c r="H104" s="102" t="n">
        <f aca="false">$E104*Parametros!$C$23</f>
        <v>392.844</v>
      </c>
      <c r="I104" s="90" t="n">
        <v>0.462</v>
      </c>
    </row>
    <row r="105" customFormat="false" ht="15" hidden="false" customHeight="false" outlineLevel="0" collapsed="false">
      <c r="A105" s="88" t="s">
        <v>139</v>
      </c>
      <c r="B105" s="97" t="n">
        <v>2</v>
      </c>
      <c r="C105" s="88" t="s">
        <v>140</v>
      </c>
      <c r="D105" s="88" t="s">
        <v>356</v>
      </c>
      <c r="E105" s="98" t="n">
        <v>654.74</v>
      </c>
      <c r="F105" s="102" t="n">
        <f aca="false">$E105*Parametros!$C$22</f>
        <v>3142.752</v>
      </c>
      <c r="G105" s="90"/>
      <c r="H105" s="102" t="n">
        <f aca="false">$E105*Parametros!$C$23</f>
        <v>392.844</v>
      </c>
      <c r="I105" s="90" t="n">
        <v>0.431</v>
      </c>
    </row>
    <row r="106" customFormat="false" ht="15" hidden="false" customHeight="false" outlineLevel="0" collapsed="false">
      <c r="A106" s="88" t="s">
        <v>139</v>
      </c>
      <c r="B106" s="97" t="n">
        <v>2</v>
      </c>
      <c r="C106" s="88" t="s">
        <v>140</v>
      </c>
      <c r="D106" s="88" t="s">
        <v>357</v>
      </c>
      <c r="E106" s="98" t="n">
        <v>654.74</v>
      </c>
      <c r="F106" s="102" t="n">
        <f aca="false">$E106*Parametros!$C$22</f>
        <v>3142.752</v>
      </c>
      <c r="G106" s="90" t="n">
        <v>3.4</v>
      </c>
      <c r="H106" s="102" t="n">
        <f aca="false">$E106*Parametros!$C$23</f>
        <v>392.844</v>
      </c>
      <c r="I106" s="90" t="n">
        <v>0.51</v>
      </c>
    </row>
    <row r="107" customFormat="false" ht="15" hidden="false" customHeight="false" outlineLevel="0" collapsed="false">
      <c r="A107" s="88" t="s">
        <v>139</v>
      </c>
      <c r="B107" s="97" t="n">
        <v>2</v>
      </c>
      <c r="C107" s="88" t="s">
        <v>140</v>
      </c>
      <c r="D107" s="88" t="s">
        <v>358</v>
      </c>
      <c r="E107" s="98" t="n">
        <v>654.74</v>
      </c>
      <c r="F107" s="102" t="n">
        <f aca="false">$E107*Parametros!$C$22</f>
        <v>3142.752</v>
      </c>
      <c r="G107" s="90"/>
      <c r="H107" s="102" t="n">
        <f aca="false">$E107*Parametros!$C$23</f>
        <v>392.844</v>
      </c>
      <c r="I107" s="90" t="n">
        <v>0.522</v>
      </c>
    </row>
    <row r="108" customFormat="false" ht="15" hidden="false" customHeight="false" outlineLevel="0" collapsed="false">
      <c r="A108" s="88" t="s">
        <v>139</v>
      </c>
      <c r="B108" s="97" t="n">
        <v>2</v>
      </c>
      <c r="C108" s="88" t="s">
        <v>140</v>
      </c>
      <c r="D108" s="88" t="s">
        <v>359</v>
      </c>
      <c r="E108" s="98" t="n">
        <v>654.74</v>
      </c>
      <c r="F108" s="102" t="n">
        <f aca="false">$E108*Parametros!$C$22</f>
        <v>3142.752</v>
      </c>
      <c r="G108" s="90" t="n">
        <v>2.36</v>
      </c>
      <c r="H108" s="102" t="n">
        <f aca="false">$E108*Parametros!$C$23</f>
        <v>392.844</v>
      </c>
      <c r="I108" s="90" t="n">
        <v>0.181</v>
      </c>
    </row>
    <row r="109" customFormat="false" ht="15" hidden="false" customHeight="false" outlineLevel="0" collapsed="false">
      <c r="A109" s="88" t="s">
        <v>139</v>
      </c>
      <c r="B109" s="97" t="n">
        <v>2</v>
      </c>
      <c r="C109" s="88" t="s">
        <v>140</v>
      </c>
      <c r="D109" s="88" t="s">
        <v>360</v>
      </c>
      <c r="E109" s="98" t="n">
        <v>654.74</v>
      </c>
      <c r="F109" s="102" t="n">
        <f aca="false">$E109*Parametros!$C$22</f>
        <v>3142.752</v>
      </c>
      <c r="G109" s="90"/>
      <c r="H109" s="102" t="n">
        <f aca="false">$E109*Parametros!$C$23</f>
        <v>392.844</v>
      </c>
      <c r="I109" s="90" t="n">
        <v>0.0959</v>
      </c>
    </row>
    <row r="110" customFormat="false" ht="15" hidden="false" customHeight="false" outlineLevel="0" collapsed="false">
      <c r="A110" s="88" t="s">
        <v>139</v>
      </c>
      <c r="B110" s="97" t="n">
        <v>2</v>
      </c>
      <c r="C110" s="88" t="s">
        <v>140</v>
      </c>
      <c r="D110" s="88" t="s">
        <v>361</v>
      </c>
      <c r="E110" s="98" t="n">
        <v>654.74</v>
      </c>
      <c r="F110" s="102" t="n">
        <f aca="false">$E110*Parametros!$C$22</f>
        <v>3142.752</v>
      </c>
      <c r="G110" s="90"/>
      <c r="H110" s="102" t="n">
        <f aca="false">$E110*Parametros!$C$23</f>
        <v>392.844</v>
      </c>
      <c r="I110" s="90" t="n">
        <v>0.487</v>
      </c>
    </row>
    <row r="111" customFormat="false" ht="15" hidden="false" customHeight="false" outlineLevel="0" collapsed="false">
      <c r="A111" s="88" t="s">
        <v>139</v>
      </c>
      <c r="B111" s="97" t="n">
        <v>2</v>
      </c>
      <c r="C111" s="88" t="s">
        <v>140</v>
      </c>
      <c r="D111" s="88" t="s">
        <v>362</v>
      </c>
      <c r="E111" s="98" t="n">
        <v>654.74</v>
      </c>
      <c r="F111" s="102" t="n">
        <f aca="false">$E111*Parametros!$C$22</f>
        <v>3142.752</v>
      </c>
      <c r="G111" s="90"/>
      <c r="H111" s="102" t="n">
        <f aca="false">$E111*Parametros!$C$23</f>
        <v>392.844</v>
      </c>
      <c r="I111" s="90" t="n">
        <v>0.64</v>
      </c>
    </row>
    <row r="112" customFormat="false" ht="15" hidden="false" customHeight="false" outlineLevel="0" collapsed="false">
      <c r="A112" s="88" t="s">
        <v>146</v>
      </c>
      <c r="B112" s="97" t="n">
        <v>1</v>
      </c>
      <c r="C112" s="88" t="s">
        <v>147</v>
      </c>
      <c r="D112" s="88" t="s">
        <v>368</v>
      </c>
      <c r="E112" s="98" t="n">
        <v>0.2</v>
      </c>
      <c r="F112" s="102" t="n">
        <f aca="false">$E112*Parametros!$C$22</f>
        <v>0.96</v>
      </c>
      <c r="G112" s="90" t="n">
        <v>0.72</v>
      </c>
      <c r="H112" s="102" t="n">
        <f aca="false">$E112*Parametros!$C$23</f>
        <v>0.12</v>
      </c>
      <c r="I112" s="90" t="n">
        <v>0.45</v>
      </c>
    </row>
    <row r="113" customFormat="false" ht="15" hidden="false" customHeight="false" outlineLevel="0" collapsed="false">
      <c r="A113" s="88" t="s">
        <v>146</v>
      </c>
      <c r="B113" s="97" t="n">
        <v>1</v>
      </c>
      <c r="C113" s="88" t="s">
        <v>147</v>
      </c>
      <c r="D113" s="88" t="s">
        <v>369</v>
      </c>
      <c r="E113" s="98" t="n">
        <v>0.2</v>
      </c>
      <c r="F113" s="102" t="n">
        <f aca="false">$E113*Parametros!$C$22</f>
        <v>0.96</v>
      </c>
      <c r="G113" s="90"/>
      <c r="H113" s="102" t="n">
        <f aca="false">$E113*Parametros!$C$23</f>
        <v>0.12</v>
      </c>
      <c r="I113" s="90" t="n">
        <v>0.18</v>
      </c>
    </row>
    <row r="114" customFormat="false" ht="15" hidden="false" customHeight="false" outlineLevel="0" collapsed="false">
      <c r="A114" s="88" t="s">
        <v>146</v>
      </c>
      <c r="B114" s="97" t="n">
        <v>1</v>
      </c>
      <c r="C114" s="88" t="s">
        <v>147</v>
      </c>
      <c r="D114" s="88" t="s">
        <v>370</v>
      </c>
      <c r="E114" s="98" t="n">
        <v>0.2</v>
      </c>
      <c r="F114" s="102" t="n">
        <f aca="false">$E114*Parametros!$C$22</f>
        <v>0.96</v>
      </c>
      <c r="G114" s="90" t="n">
        <v>0.5</v>
      </c>
      <c r="H114" s="102" t="n">
        <f aca="false">$E114*Parametros!$C$23</f>
        <v>0.12</v>
      </c>
      <c r="I114" s="90" t="n">
        <v>0.1</v>
      </c>
    </row>
    <row r="115" customFormat="false" ht="15" hidden="false" customHeight="false" outlineLevel="0" collapsed="false">
      <c r="A115" s="88" t="s">
        <v>146</v>
      </c>
      <c r="B115" s="97" t="n">
        <v>1</v>
      </c>
      <c r="C115" s="88" t="s">
        <v>147</v>
      </c>
      <c r="D115" s="88" t="s">
        <v>371</v>
      </c>
      <c r="E115" s="98" t="n">
        <v>0.2</v>
      </c>
      <c r="F115" s="102" t="n">
        <f aca="false">$E115*Parametros!$C$22</f>
        <v>0.96</v>
      </c>
      <c r="G115" s="90" t="n">
        <v>0.5</v>
      </c>
      <c r="H115" s="102" t="n">
        <f aca="false">$E115*Parametros!$C$23</f>
        <v>0.12</v>
      </c>
      <c r="I115" s="90" t="n">
        <v>0.1</v>
      </c>
    </row>
    <row r="116" customFormat="false" ht="15" hidden="false" customHeight="false" outlineLevel="0" collapsed="false">
      <c r="A116" s="88" t="s">
        <v>146</v>
      </c>
      <c r="B116" s="97" t="n">
        <v>1</v>
      </c>
      <c r="C116" s="88" t="s">
        <v>147</v>
      </c>
      <c r="D116" s="88" t="s">
        <v>372</v>
      </c>
      <c r="E116" s="98" t="n">
        <v>0.2</v>
      </c>
      <c r="F116" s="102" t="n">
        <f aca="false">$E116*Parametros!$C$22</f>
        <v>0.96</v>
      </c>
      <c r="G116" s="90" t="n">
        <v>0.5</v>
      </c>
      <c r="H116" s="102" t="n">
        <f aca="false">$E116*Parametros!$C$23</f>
        <v>0.12</v>
      </c>
      <c r="I116" s="90" t="n">
        <v>1</v>
      </c>
    </row>
    <row r="117" customFormat="false" ht="15" hidden="false" customHeight="false" outlineLevel="0" collapsed="false">
      <c r="A117" s="88" t="s">
        <v>146</v>
      </c>
      <c r="B117" s="97" t="n">
        <v>1</v>
      </c>
      <c r="C117" s="88" t="s">
        <v>147</v>
      </c>
      <c r="D117" s="88" t="s">
        <v>373</v>
      </c>
      <c r="E117" s="98" t="n">
        <v>0.2</v>
      </c>
      <c r="F117" s="102" t="n">
        <f aca="false">$E117*Parametros!$C$22</f>
        <v>0.96</v>
      </c>
      <c r="G117" s="90" t="n">
        <v>0.5</v>
      </c>
      <c r="H117" s="102" t="n">
        <f aca="false">$E117*Parametros!$C$23</f>
        <v>0.12</v>
      </c>
      <c r="I117" s="90" t="n">
        <v>0.25</v>
      </c>
    </row>
    <row r="118" customFormat="false" ht="15" hidden="false" customHeight="false" outlineLevel="0" collapsed="false">
      <c r="A118" s="88" t="s">
        <v>146</v>
      </c>
      <c r="B118" s="97" t="n">
        <v>1</v>
      </c>
      <c r="C118" s="88" t="s">
        <v>147</v>
      </c>
      <c r="D118" s="88" t="s">
        <v>374</v>
      </c>
      <c r="E118" s="98" t="n">
        <v>0.2</v>
      </c>
      <c r="F118" s="102" t="n">
        <f aca="false">$E118*Parametros!$C$22</f>
        <v>0.96</v>
      </c>
      <c r="G118" s="90" t="n">
        <v>0.16</v>
      </c>
      <c r="H118" s="102" t="n">
        <f aca="false">$E118*Parametros!$C$23</f>
        <v>0.12</v>
      </c>
      <c r="I118" s="90" t="n">
        <v>0.26</v>
      </c>
    </row>
    <row r="119" customFormat="false" ht="15" hidden="false" customHeight="false" outlineLevel="0" collapsed="false">
      <c r="A119" s="88" t="s">
        <v>146</v>
      </c>
      <c r="B119" s="97" t="n">
        <v>1</v>
      </c>
      <c r="C119" s="88" t="s">
        <v>147</v>
      </c>
      <c r="D119" s="88" t="s">
        <v>375</v>
      </c>
      <c r="E119" s="98" t="n">
        <v>0.2</v>
      </c>
      <c r="F119" s="102" t="n">
        <f aca="false">$E119*Parametros!$C$22</f>
        <v>0.96</v>
      </c>
      <c r="G119" s="90" t="n">
        <v>0.5</v>
      </c>
      <c r="H119" s="102" t="n">
        <f aca="false">$E119*Parametros!$C$23</f>
        <v>0.12</v>
      </c>
      <c r="I119" s="90" t="n">
        <v>0.23</v>
      </c>
    </row>
    <row r="120" customFormat="false" ht="15" hidden="false" customHeight="false" outlineLevel="0" collapsed="false">
      <c r="A120" s="88" t="s">
        <v>146</v>
      </c>
      <c r="B120" s="97" t="n">
        <v>1</v>
      </c>
      <c r="C120" s="88" t="s">
        <v>147</v>
      </c>
      <c r="D120" s="88" t="s">
        <v>376</v>
      </c>
      <c r="E120" s="98" t="n">
        <v>0.2</v>
      </c>
      <c r="F120" s="102" t="n">
        <f aca="false">$E120*Parametros!$C$22</f>
        <v>0.96</v>
      </c>
      <c r="G120" s="90" t="n">
        <v>1.12</v>
      </c>
      <c r="H120" s="102" t="n">
        <f aca="false">$E120*Parametros!$C$23</f>
        <v>0.12</v>
      </c>
      <c r="I120" s="90" t="n">
        <v>0.19</v>
      </c>
    </row>
    <row r="121" customFormat="false" ht="15" hidden="false" customHeight="false" outlineLevel="0" collapsed="false">
      <c r="A121" s="88" t="s">
        <v>146</v>
      </c>
      <c r="B121" s="97" t="n">
        <v>1</v>
      </c>
      <c r="C121" s="88" t="s">
        <v>147</v>
      </c>
      <c r="D121" s="88" t="s">
        <v>377</v>
      </c>
      <c r="E121" s="98" t="n">
        <v>0.2</v>
      </c>
      <c r="F121" s="102" t="n">
        <f aca="false">$E121*Parametros!$C$22</f>
        <v>0.96</v>
      </c>
      <c r="G121" s="90" t="n">
        <v>0.75</v>
      </c>
      <c r="H121" s="102" t="n">
        <f aca="false">$E121*Parametros!$C$23</f>
        <v>0.12</v>
      </c>
      <c r="I121" s="90" t="n">
        <v>0.1</v>
      </c>
    </row>
    <row r="122" customFormat="false" ht="15" hidden="false" customHeight="false" outlineLevel="0" collapsed="false">
      <c r="A122" s="88" t="s">
        <v>146</v>
      </c>
      <c r="B122" s="97" t="n">
        <v>2</v>
      </c>
      <c r="C122" s="88" t="s">
        <v>150</v>
      </c>
      <c r="D122" s="88" t="s">
        <v>368</v>
      </c>
      <c r="E122" s="98" t="n">
        <v>13.14</v>
      </c>
      <c r="F122" s="102" t="n">
        <f aca="false">$E122*Parametros!$C$22</f>
        <v>63.072</v>
      </c>
      <c r="G122" s="90" t="n">
        <v>0.8</v>
      </c>
      <c r="H122" s="102" t="n">
        <f aca="false">$E122*Parametros!$C$23</f>
        <v>7.884</v>
      </c>
      <c r="I122" s="90" t="n">
        <v>2.33</v>
      </c>
    </row>
    <row r="123" customFormat="false" ht="15" hidden="false" customHeight="false" outlineLevel="0" collapsed="false">
      <c r="A123" s="88" t="s">
        <v>146</v>
      </c>
      <c r="B123" s="97" t="n">
        <v>2</v>
      </c>
      <c r="C123" s="88" t="s">
        <v>150</v>
      </c>
      <c r="D123" s="88" t="s">
        <v>369</v>
      </c>
      <c r="E123" s="98" t="n">
        <v>13.14</v>
      </c>
      <c r="F123" s="102" t="n">
        <f aca="false">$E123*Parametros!$C$22</f>
        <v>63.072</v>
      </c>
      <c r="G123" s="90"/>
      <c r="H123" s="102" t="n">
        <f aca="false">$E123*Parametros!$C$23</f>
        <v>7.884</v>
      </c>
      <c r="I123" s="90" t="n">
        <v>0.58</v>
      </c>
    </row>
    <row r="124" customFormat="false" ht="15" hidden="false" customHeight="false" outlineLevel="0" collapsed="false">
      <c r="A124" s="88" t="s">
        <v>146</v>
      </c>
      <c r="B124" s="97" t="n">
        <v>2</v>
      </c>
      <c r="C124" s="88" t="s">
        <v>150</v>
      </c>
      <c r="D124" s="88" t="s">
        <v>370</v>
      </c>
      <c r="E124" s="98" t="n">
        <v>13.14</v>
      </c>
      <c r="F124" s="102" t="n">
        <f aca="false">$E124*Parametros!$C$22</f>
        <v>63.072</v>
      </c>
      <c r="G124" s="90" t="n">
        <v>0.52</v>
      </c>
      <c r="H124" s="102" t="n">
        <f aca="false">$E124*Parametros!$C$23</f>
        <v>7.884</v>
      </c>
      <c r="I124" s="90" t="n">
        <v>0.1</v>
      </c>
    </row>
    <row r="125" customFormat="false" ht="15" hidden="false" customHeight="false" outlineLevel="0" collapsed="false">
      <c r="A125" s="88" t="s">
        <v>146</v>
      </c>
      <c r="B125" s="97" t="n">
        <v>2</v>
      </c>
      <c r="C125" s="88" t="s">
        <v>150</v>
      </c>
      <c r="D125" s="88" t="s">
        <v>371</v>
      </c>
      <c r="E125" s="98" t="n">
        <v>13.14</v>
      </c>
      <c r="F125" s="102" t="n">
        <f aca="false">$E125*Parametros!$C$22</f>
        <v>63.072</v>
      </c>
      <c r="G125" s="90" t="n">
        <v>0.5</v>
      </c>
      <c r="H125" s="102" t="n">
        <f aca="false">$E125*Parametros!$C$23</f>
        <v>7.884</v>
      </c>
      <c r="I125" s="90" t="n">
        <v>0.1</v>
      </c>
    </row>
    <row r="126" customFormat="false" ht="15" hidden="false" customHeight="false" outlineLevel="0" collapsed="false">
      <c r="A126" s="88" t="s">
        <v>146</v>
      </c>
      <c r="B126" s="97" t="n">
        <v>2</v>
      </c>
      <c r="C126" s="88" t="s">
        <v>150</v>
      </c>
      <c r="D126" s="88" t="s">
        <v>372</v>
      </c>
      <c r="E126" s="98" t="n">
        <v>13.14</v>
      </c>
      <c r="F126" s="102" t="n">
        <f aca="false">$E126*Parametros!$C$22</f>
        <v>63.072</v>
      </c>
      <c r="G126" s="90" t="n">
        <v>0.5</v>
      </c>
      <c r="H126" s="102" t="n">
        <f aca="false">$E126*Parametros!$C$23</f>
        <v>7.884</v>
      </c>
      <c r="I126" s="90" t="n">
        <v>2.58</v>
      </c>
    </row>
    <row r="127" customFormat="false" ht="15" hidden="false" customHeight="false" outlineLevel="0" collapsed="false">
      <c r="A127" s="88" t="s">
        <v>146</v>
      </c>
      <c r="B127" s="97" t="n">
        <v>2</v>
      </c>
      <c r="C127" s="88" t="s">
        <v>150</v>
      </c>
      <c r="D127" s="88" t="s">
        <v>373</v>
      </c>
      <c r="E127" s="98" t="n">
        <v>13.14</v>
      </c>
      <c r="F127" s="102" t="n">
        <f aca="false">$E127*Parametros!$C$22</f>
        <v>63.072</v>
      </c>
      <c r="G127" s="90" t="n">
        <v>0.5</v>
      </c>
      <c r="H127" s="102" t="n">
        <f aca="false">$E127*Parametros!$C$23</f>
        <v>7.884</v>
      </c>
      <c r="I127" s="90" t="n">
        <v>0.13</v>
      </c>
    </row>
    <row r="128" customFormat="false" ht="15" hidden="false" customHeight="false" outlineLevel="0" collapsed="false">
      <c r="A128" s="88" t="s">
        <v>146</v>
      </c>
      <c r="B128" s="97" t="n">
        <v>2</v>
      </c>
      <c r="C128" s="88" t="s">
        <v>150</v>
      </c>
      <c r="D128" s="88" t="s">
        <v>374</v>
      </c>
      <c r="E128" s="98" t="n">
        <v>13.14</v>
      </c>
      <c r="F128" s="102" t="n">
        <f aca="false">$E128*Parametros!$C$22</f>
        <v>63.072</v>
      </c>
      <c r="G128" s="90" t="n">
        <v>0.16</v>
      </c>
      <c r="H128" s="102" t="n">
        <f aca="false">$E128*Parametros!$C$23</f>
        <v>7.884</v>
      </c>
      <c r="I128" s="90" t="n">
        <v>0.14</v>
      </c>
    </row>
    <row r="129" customFormat="false" ht="15" hidden="false" customHeight="false" outlineLevel="0" collapsed="false">
      <c r="A129" s="88" t="s">
        <v>146</v>
      </c>
      <c r="B129" s="97" t="n">
        <v>2</v>
      </c>
      <c r="C129" s="88" t="s">
        <v>150</v>
      </c>
      <c r="D129" s="88" t="s">
        <v>375</v>
      </c>
      <c r="E129" s="98" t="n">
        <v>13.14</v>
      </c>
      <c r="F129" s="102" t="n">
        <f aca="false">$E129*Parametros!$C$22</f>
        <v>63.072</v>
      </c>
      <c r="G129" s="90" t="n">
        <v>0.5</v>
      </c>
      <c r="H129" s="102" t="n">
        <f aca="false">$E129*Parametros!$C$23</f>
        <v>7.884</v>
      </c>
      <c r="I129" s="90" t="n">
        <v>0.8</v>
      </c>
    </row>
    <row r="130" customFormat="false" ht="15" hidden="false" customHeight="false" outlineLevel="0" collapsed="false">
      <c r="A130" s="88" t="s">
        <v>146</v>
      </c>
      <c r="B130" s="97" t="n">
        <v>2</v>
      </c>
      <c r="C130" s="88" t="s">
        <v>150</v>
      </c>
      <c r="D130" s="88" t="s">
        <v>376</v>
      </c>
      <c r="E130" s="98" t="n">
        <v>13.14</v>
      </c>
      <c r="F130" s="102" t="n">
        <f aca="false">$E130*Parametros!$C$22</f>
        <v>63.072</v>
      </c>
      <c r="G130" s="90" t="n">
        <v>1.12</v>
      </c>
      <c r="H130" s="102" t="n">
        <f aca="false">$E130*Parametros!$C$23</f>
        <v>7.884</v>
      </c>
      <c r="I130" s="90" t="n">
        <v>0.25</v>
      </c>
    </row>
    <row r="131" customFormat="false" ht="15" hidden="false" customHeight="false" outlineLevel="0" collapsed="false">
      <c r="A131" s="88" t="s">
        <v>146</v>
      </c>
      <c r="B131" s="97" t="n">
        <v>2</v>
      </c>
      <c r="C131" s="88" t="s">
        <v>150</v>
      </c>
      <c r="D131" s="88" t="s">
        <v>377</v>
      </c>
      <c r="E131" s="98" t="n">
        <v>13.14</v>
      </c>
      <c r="F131" s="102" t="n">
        <f aca="false">$E131*Parametros!$C$22</f>
        <v>63.072</v>
      </c>
      <c r="G131" s="90" t="n">
        <v>0.76</v>
      </c>
      <c r="H131" s="102" t="n">
        <f aca="false">$E131*Parametros!$C$23</f>
        <v>7.884</v>
      </c>
      <c r="I131" s="90" t="n">
        <v>0.1</v>
      </c>
    </row>
    <row r="132" customFormat="false" ht="15" hidden="false" customHeight="false" outlineLevel="0" collapsed="false">
      <c r="A132" s="88" t="s">
        <v>146</v>
      </c>
      <c r="B132" s="97" t="n">
        <v>3</v>
      </c>
      <c r="C132" s="88" t="s">
        <v>154</v>
      </c>
      <c r="D132" s="88" t="s">
        <v>368</v>
      </c>
      <c r="E132" s="98" t="n">
        <v>206.18</v>
      </c>
      <c r="F132" s="102" t="n">
        <f aca="false">$E132*Parametros!$C$22</f>
        <v>989.664</v>
      </c>
      <c r="G132" s="90" t="n">
        <v>0.9</v>
      </c>
      <c r="H132" s="102" t="n">
        <f aca="false">$E132*Parametros!$C$23</f>
        <v>123.708</v>
      </c>
      <c r="I132" s="90" t="n">
        <v>2.78</v>
      </c>
    </row>
    <row r="133" customFormat="false" ht="15" hidden="false" customHeight="false" outlineLevel="0" collapsed="false">
      <c r="A133" s="88" t="s">
        <v>146</v>
      </c>
      <c r="B133" s="97" t="n">
        <v>3</v>
      </c>
      <c r="C133" s="88" t="s">
        <v>154</v>
      </c>
      <c r="D133" s="88" t="s">
        <v>369</v>
      </c>
      <c r="E133" s="98" t="n">
        <v>206.18</v>
      </c>
      <c r="F133" s="102" t="n">
        <f aca="false">$E133*Parametros!$C$22</f>
        <v>989.664</v>
      </c>
      <c r="G133" s="90"/>
      <c r="H133" s="102" t="n">
        <f aca="false">$E133*Parametros!$C$23</f>
        <v>123.708</v>
      </c>
      <c r="I133" s="90" t="n">
        <v>0.68</v>
      </c>
    </row>
    <row r="134" customFormat="false" ht="15" hidden="false" customHeight="false" outlineLevel="0" collapsed="false">
      <c r="A134" s="88" t="s">
        <v>146</v>
      </c>
      <c r="B134" s="97" t="n">
        <v>3</v>
      </c>
      <c r="C134" s="88" t="s">
        <v>154</v>
      </c>
      <c r="D134" s="88" t="s">
        <v>370</v>
      </c>
      <c r="E134" s="98" t="n">
        <v>206.18</v>
      </c>
      <c r="F134" s="102" t="n">
        <f aca="false">$E134*Parametros!$C$22</f>
        <v>989.664</v>
      </c>
      <c r="G134" s="90" t="n">
        <v>0.54</v>
      </c>
      <c r="H134" s="102" t="n">
        <f aca="false">$E134*Parametros!$C$23</f>
        <v>123.708</v>
      </c>
      <c r="I134" s="90" t="n">
        <v>0.1</v>
      </c>
    </row>
    <row r="135" customFormat="false" ht="15" hidden="false" customHeight="false" outlineLevel="0" collapsed="false">
      <c r="A135" s="88" t="s">
        <v>146</v>
      </c>
      <c r="B135" s="97" t="n">
        <v>3</v>
      </c>
      <c r="C135" s="88" t="s">
        <v>154</v>
      </c>
      <c r="D135" s="88" t="s">
        <v>371</v>
      </c>
      <c r="E135" s="98" t="n">
        <v>206.18</v>
      </c>
      <c r="F135" s="102" t="n">
        <f aca="false">$E135*Parametros!$C$22</f>
        <v>989.664</v>
      </c>
      <c r="G135" s="90" t="n">
        <v>0.5</v>
      </c>
      <c r="H135" s="102" t="n">
        <f aca="false">$E135*Parametros!$C$23</f>
        <v>123.708</v>
      </c>
      <c r="I135" s="90" t="n">
        <v>0.1</v>
      </c>
    </row>
    <row r="136" customFormat="false" ht="15" hidden="false" customHeight="false" outlineLevel="0" collapsed="false">
      <c r="A136" s="88" t="s">
        <v>146</v>
      </c>
      <c r="B136" s="97" t="n">
        <v>3</v>
      </c>
      <c r="C136" s="88" t="s">
        <v>154</v>
      </c>
      <c r="D136" s="88" t="s">
        <v>372</v>
      </c>
      <c r="E136" s="98" t="n">
        <v>206.18</v>
      </c>
      <c r="F136" s="102" t="n">
        <f aca="false">$E136*Parametros!$C$22</f>
        <v>989.664</v>
      </c>
      <c r="G136" s="90" t="n">
        <v>0.56</v>
      </c>
      <c r="H136" s="102" t="n">
        <f aca="false">$E136*Parametros!$C$23</f>
        <v>123.708</v>
      </c>
      <c r="I136" s="90" t="n">
        <v>0.85</v>
      </c>
    </row>
    <row r="137" customFormat="false" ht="15" hidden="false" customHeight="false" outlineLevel="0" collapsed="false">
      <c r="A137" s="88" t="s">
        <v>146</v>
      </c>
      <c r="B137" s="97" t="n">
        <v>3</v>
      </c>
      <c r="C137" s="88" t="s">
        <v>154</v>
      </c>
      <c r="D137" s="88" t="s">
        <v>373</v>
      </c>
      <c r="E137" s="98" t="n">
        <v>206.18</v>
      </c>
      <c r="F137" s="102" t="n">
        <f aca="false">$E137*Parametros!$C$22</f>
        <v>989.664</v>
      </c>
      <c r="G137" s="90" t="n">
        <v>0.5</v>
      </c>
      <c r="H137" s="102" t="n">
        <f aca="false">$E137*Parametros!$C$23</f>
        <v>123.708</v>
      </c>
      <c r="I137" s="90" t="n">
        <v>0.15</v>
      </c>
    </row>
    <row r="138" customFormat="false" ht="15" hidden="false" customHeight="false" outlineLevel="0" collapsed="false">
      <c r="A138" s="88" t="s">
        <v>146</v>
      </c>
      <c r="B138" s="97" t="n">
        <v>3</v>
      </c>
      <c r="C138" s="88" t="s">
        <v>154</v>
      </c>
      <c r="D138" s="88" t="s">
        <v>374</v>
      </c>
      <c r="E138" s="98" t="n">
        <v>206.18</v>
      </c>
      <c r="F138" s="102" t="n">
        <f aca="false">$E138*Parametros!$C$22</f>
        <v>989.664</v>
      </c>
      <c r="G138" s="90" t="n">
        <v>0.2</v>
      </c>
      <c r="H138" s="102" t="n">
        <f aca="false">$E138*Parametros!$C$23</f>
        <v>123.708</v>
      </c>
      <c r="I138" s="90" t="n">
        <v>0.21</v>
      </c>
    </row>
    <row r="139" customFormat="false" ht="15" hidden="false" customHeight="false" outlineLevel="0" collapsed="false">
      <c r="A139" s="88" t="s">
        <v>146</v>
      </c>
      <c r="B139" s="97" t="n">
        <v>3</v>
      </c>
      <c r="C139" s="88" t="s">
        <v>154</v>
      </c>
      <c r="D139" s="88" t="s">
        <v>375</v>
      </c>
      <c r="E139" s="98" t="n">
        <v>206.18</v>
      </c>
      <c r="F139" s="102" t="n">
        <f aca="false">$E139*Parametros!$C$22</f>
        <v>989.664</v>
      </c>
      <c r="G139" s="90" t="n">
        <v>0.5</v>
      </c>
      <c r="H139" s="102" t="n">
        <f aca="false">$E139*Parametros!$C$23</f>
        <v>123.708</v>
      </c>
      <c r="I139" s="90" t="n">
        <v>0.57</v>
      </c>
    </row>
    <row r="140" customFormat="false" ht="15" hidden="false" customHeight="false" outlineLevel="0" collapsed="false">
      <c r="A140" s="88" t="s">
        <v>146</v>
      </c>
      <c r="B140" s="97" t="n">
        <v>3</v>
      </c>
      <c r="C140" s="88" t="s">
        <v>154</v>
      </c>
      <c r="D140" s="88" t="s">
        <v>376</v>
      </c>
      <c r="E140" s="98" t="n">
        <v>206.18</v>
      </c>
      <c r="F140" s="102" t="n">
        <f aca="false">$E140*Parametros!$C$22</f>
        <v>989.664</v>
      </c>
      <c r="G140" s="90" t="n">
        <v>0.6</v>
      </c>
      <c r="H140" s="102" t="n">
        <f aca="false">$E140*Parametros!$C$23</f>
        <v>123.708</v>
      </c>
      <c r="I140" s="90" t="n">
        <v>0.1</v>
      </c>
    </row>
    <row r="141" customFormat="false" ht="15" hidden="false" customHeight="false" outlineLevel="0" collapsed="false">
      <c r="A141" s="88" t="s">
        <v>146</v>
      </c>
      <c r="B141" s="97" t="n">
        <v>3</v>
      </c>
      <c r="C141" s="88" t="s">
        <v>154</v>
      </c>
      <c r="D141" s="88" t="s">
        <v>377</v>
      </c>
      <c r="E141" s="98" t="n">
        <v>206.18</v>
      </c>
      <c r="F141" s="102" t="n">
        <f aca="false">$E141*Parametros!$C$22</f>
        <v>989.664</v>
      </c>
      <c r="G141" s="90" t="n">
        <v>0.93</v>
      </c>
      <c r="H141" s="102" t="n">
        <f aca="false">$E141*Parametros!$C$23</f>
        <v>123.708</v>
      </c>
      <c r="I141" s="90" t="n">
        <v>0.1</v>
      </c>
    </row>
    <row r="142" customFormat="false" ht="15" hidden="false" customHeight="false" outlineLevel="0" collapsed="false">
      <c r="A142" s="88" t="s">
        <v>146</v>
      </c>
      <c r="B142" s="97" t="n">
        <v>5</v>
      </c>
      <c r="C142" s="88" t="s">
        <v>152</v>
      </c>
      <c r="D142" s="88" t="s">
        <v>368</v>
      </c>
      <c r="E142" s="98" t="n">
        <v>209.39</v>
      </c>
      <c r="F142" s="102" t="n">
        <f aca="false">$E142*Parametros!$C$22</f>
        <v>1005.072</v>
      </c>
      <c r="G142" s="90" t="n">
        <v>0.94</v>
      </c>
      <c r="H142" s="102" t="n">
        <f aca="false">$E142*Parametros!$C$23</f>
        <v>125.634</v>
      </c>
      <c r="I142" s="90" t="n">
        <v>3.63</v>
      </c>
    </row>
    <row r="143" customFormat="false" ht="15" hidden="false" customHeight="false" outlineLevel="0" collapsed="false">
      <c r="A143" s="88" t="s">
        <v>146</v>
      </c>
      <c r="B143" s="97" t="n">
        <v>5</v>
      </c>
      <c r="C143" s="88" t="s">
        <v>152</v>
      </c>
      <c r="D143" s="88" t="s">
        <v>369</v>
      </c>
      <c r="E143" s="98" t="n">
        <v>209.39</v>
      </c>
      <c r="F143" s="102" t="n">
        <f aca="false">$E143*Parametros!$C$22</f>
        <v>1005.072</v>
      </c>
      <c r="G143" s="90"/>
      <c r="H143" s="102" t="n">
        <f aca="false">$E143*Parametros!$C$23</f>
        <v>125.634</v>
      </c>
      <c r="I143" s="90" t="n">
        <v>0.51</v>
      </c>
    </row>
    <row r="144" customFormat="false" ht="15" hidden="false" customHeight="false" outlineLevel="0" collapsed="false">
      <c r="A144" s="88" t="s">
        <v>146</v>
      </c>
      <c r="B144" s="97" t="n">
        <v>5</v>
      </c>
      <c r="C144" s="88" t="s">
        <v>152</v>
      </c>
      <c r="D144" s="88" t="s">
        <v>370</v>
      </c>
      <c r="E144" s="98" t="n">
        <v>209.39</v>
      </c>
      <c r="F144" s="102" t="n">
        <f aca="false">$E144*Parametros!$C$22</f>
        <v>1005.072</v>
      </c>
      <c r="G144" s="90" t="n">
        <v>1.3</v>
      </c>
      <c r="H144" s="102" t="n">
        <f aca="false">$E144*Parametros!$C$23</f>
        <v>125.634</v>
      </c>
      <c r="I144" s="90" t="n">
        <v>0.11</v>
      </c>
    </row>
    <row r="145" customFormat="false" ht="15" hidden="false" customHeight="false" outlineLevel="0" collapsed="false">
      <c r="A145" s="88" t="s">
        <v>146</v>
      </c>
      <c r="B145" s="97" t="n">
        <v>5</v>
      </c>
      <c r="C145" s="88" t="s">
        <v>152</v>
      </c>
      <c r="D145" s="88" t="s">
        <v>371</v>
      </c>
      <c r="E145" s="98" t="n">
        <v>209.39</v>
      </c>
      <c r="F145" s="102" t="n">
        <f aca="false">$E145*Parametros!$C$22</f>
        <v>1005.072</v>
      </c>
      <c r="G145" s="90" t="n">
        <v>0.5</v>
      </c>
      <c r="H145" s="102" t="n">
        <f aca="false">$E145*Parametros!$C$23</f>
        <v>125.634</v>
      </c>
      <c r="I145" s="90" t="n">
        <v>1.26</v>
      </c>
    </row>
    <row r="146" customFormat="false" ht="15" hidden="false" customHeight="false" outlineLevel="0" collapsed="false">
      <c r="A146" s="88" t="s">
        <v>146</v>
      </c>
      <c r="B146" s="97" t="n">
        <v>5</v>
      </c>
      <c r="C146" s="88" t="s">
        <v>152</v>
      </c>
      <c r="D146" s="88" t="s">
        <v>372</v>
      </c>
      <c r="E146" s="98" t="n">
        <v>209.39</v>
      </c>
      <c r="F146" s="102" t="n">
        <f aca="false">$E146*Parametros!$C$22</f>
        <v>1005.072</v>
      </c>
      <c r="G146" s="90" t="n">
        <v>0.6</v>
      </c>
      <c r="H146" s="102" t="n">
        <f aca="false">$E146*Parametros!$C$23</f>
        <v>125.634</v>
      </c>
      <c r="I146" s="90" t="n">
        <v>1.27</v>
      </c>
    </row>
    <row r="147" customFormat="false" ht="15" hidden="false" customHeight="false" outlineLevel="0" collapsed="false">
      <c r="A147" s="88" t="s">
        <v>146</v>
      </c>
      <c r="B147" s="97" t="n">
        <v>5</v>
      </c>
      <c r="C147" s="88" t="s">
        <v>152</v>
      </c>
      <c r="D147" s="88" t="s">
        <v>373</v>
      </c>
      <c r="E147" s="98" t="n">
        <v>209.39</v>
      </c>
      <c r="F147" s="102" t="n">
        <f aca="false">$E147*Parametros!$C$22</f>
        <v>1005.072</v>
      </c>
      <c r="G147" s="90" t="n">
        <v>1.7</v>
      </c>
      <c r="H147" s="102" t="n">
        <f aca="false">$E147*Parametros!$C$23</f>
        <v>125.634</v>
      </c>
      <c r="I147" s="90" t="n">
        <v>0.45</v>
      </c>
    </row>
    <row r="148" customFormat="false" ht="15" hidden="false" customHeight="false" outlineLevel="0" collapsed="false">
      <c r="A148" s="88" t="s">
        <v>146</v>
      </c>
      <c r="B148" s="97" t="n">
        <v>5</v>
      </c>
      <c r="C148" s="88" t="s">
        <v>152</v>
      </c>
      <c r="D148" s="88" t="s">
        <v>374</v>
      </c>
      <c r="E148" s="98" t="n">
        <v>209.39</v>
      </c>
      <c r="F148" s="102" t="n">
        <f aca="false">$E148*Parametros!$C$22</f>
        <v>1005.072</v>
      </c>
      <c r="G148" s="90" t="n">
        <v>0.45</v>
      </c>
      <c r="H148" s="102" t="n">
        <f aca="false">$E148*Parametros!$C$23</f>
        <v>125.634</v>
      </c>
      <c r="I148" s="90" t="n">
        <v>0.75</v>
      </c>
    </row>
    <row r="149" customFormat="false" ht="15" hidden="false" customHeight="false" outlineLevel="0" collapsed="false">
      <c r="A149" s="88" t="s">
        <v>146</v>
      </c>
      <c r="B149" s="97" t="n">
        <v>5</v>
      </c>
      <c r="C149" s="88" t="s">
        <v>152</v>
      </c>
      <c r="D149" s="88" t="s">
        <v>375</v>
      </c>
      <c r="E149" s="98" t="n">
        <v>209.39</v>
      </c>
      <c r="F149" s="102" t="n">
        <f aca="false">$E149*Parametros!$C$22</f>
        <v>1005.072</v>
      </c>
      <c r="G149" s="90" t="n">
        <v>0.5</v>
      </c>
      <c r="H149" s="102" t="n">
        <f aca="false">$E149*Parametros!$C$23</f>
        <v>125.634</v>
      </c>
      <c r="I149" s="90" t="n">
        <v>0.99</v>
      </c>
    </row>
    <row r="150" customFormat="false" ht="15" hidden="false" customHeight="false" outlineLevel="0" collapsed="false">
      <c r="A150" s="88" t="s">
        <v>146</v>
      </c>
      <c r="B150" s="97" t="n">
        <v>5</v>
      </c>
      <c r="C150" s="88" t="s">
        <v>152</v>
      </c>
      <c r="D150" s="88" t="s">
        <v>376</v>
      </c>
      <c r="E150" s="98" t="n">
        <v>209.39</v>
      </c>
      <c r="F150" s="102" t="n">
        <f aca="false">$E150*Parametros!$C$22</f>
        <v>1005.072</v>
      </c>
      <c r="G150" s="90" t="n">
        <v>0.72</v>
      </c>
      <c r="H150" s="102" t="n">
        <f aca="false">$E150*Parametros!$C$23</f>
        <v>125.634</v>
      </c>
      <c r="I150" s="90" t="n">
        <v>0.14</v>
      </c>
    </row>
    <row r="151" customFormat="false" ht="15" hidden="false" customHeight="false" outlineLevel="0" collapsed="false">
      <c r="A151" s="88" t="s">
        <v>146</v>
      </c>
      <c r="B151" s="97" t="n">
        <v>5</v>
      </c>
      <c r="C151" s="88" t="s">
        <v>152</v>
      </c>
      <c r="D151" s="88" t="s">
        <v>377</v>
      </c>
      <c r="E151" s="98" t="n">
        <v>209.39</v>
      </c>
      <c r="F151" s="102" t="n">
        <f aca="false">$E151*Parametros!$C$22</f>
        <v>1005.072</v>
      </c>
      <c r="G151" s="90" t="n">
        <v>0.96</v>
      </c>
      <c r="H151" s="102" t="n">
        <f aca="false">$E151*Parametros!$C$23</f>
        <v>125.634</v>
      </c>
      <c r="I151" s="90" t="n">
        <v>0.1</v>
      </c>
    </row>
    <row r="152" customFormat="false" ht="15" hidden="false" customHeight="false" outlineLevel="0" collapsed="false">
      <c r="A152" s="88" t="s">
        <v>146</v>
      </c>
      <c r="B152" s="97" t="n">
        <v>6</v>
      </c>
      <c r="C152" s="88" t="s">
        <v>149</v>
      </c>
      <c r="D152" s="88" t="s">
        <v>368</v>
      </c>
      <c r="E152" s="98" t="n">
        <v>255.25</v>
      </c>
      <c r="F152" s="102" t="n">
        <f aca="false">$E152*Parametros!$C$22</f>
        <v>1225.2</v>
      </c>
      <c r="G152" s="90" t="n">
        <v>1.1</v>
      </c>
      <c r="H152" s="102" t="n">
        <f aca="false">$E152*Parametros!$C$23</f>
        <v>153.15</v>
      </c>
      <c r="I152" s="90" t="n">
        <v>1.92</v>
      </c>
    </row>
    <row r="153" customFormat="false" ht="15" hidden="false" customHeight="false" outlineLevel="0" collapsed="false">
      <c r="A153" s="88" t="s">
        <v>146</v>
      </c>
      <c r="B153" s="97" t="n">
        <v>6</v>
      </c>
      <c r="C153" s="88" t="s">
        <v>149</v>
      </c>
      <c r="D153" s="88" t="s">
        <v>369</v>
      </c>
      <c r="E153" s="98" t="n">
        <v>255.25</v>
      </c>
      <c r="F153" s="102" t="n">
        <f aca="false">$E153*Parametros!$C$22</f>
        <v>1225.2</v>
      </c>
      <c r="G153" s="90"/>
      <c r="H153" s="102" t="n">
        <f aca="false">$E153*Parametros!$C$23</f>
        <v>153.15</v>
      </c>
      <c r="I153" s="90" t="n">
        <v>0.25</v>
      </c>
    </row>
    <row r="154" customFormat="false" ht="15" hidden="false" customHeight="false" outlineLevel="0" collapsed="false">
      <c r="A154" s="88" t="s">
        <v>146</v>
      </c>
      <c r="B154" s="97" t="n">
        <v>6</v>
      </c>
      <c r="C154" s="88" t="s">
        <v>149</v>
      </c>
      <c r="D154" s="88" t="s">
        <v>370</v>
      </c>
      <c r="E154" s="98" t="n">
        <v>255.25</v>
      </c>
      <c r="F154" s="102" t="n">
        <f aca="false">$E154*Parametros!$C$22</f>
        <v>1225.2</v>
      </c>
      <c r="G154" s="90" t="n">
        <v>1</v>
      </c>
      <c r="H154" s="102" t="n">
        <f aca="false">$E154*Parametros!$C$23</f>
        <v>153.15</v>
      </c>
      <c r="I154" s="90" t="n">
        <v>0.16</v>
      </c>
    </row>
    <row r="155" customFormat="false" ht="15" hidden="false" customHeight="false" outlineLevel="0" collapsed="false">
      <c r="A155" s="88" t="s">
        <v>146</v>
      </c>
      <c r="B155" s="97" t="n">
        <v>6</v>
      </c>
      <c r="C155" s="88" t="s">
        <v>149</v>
      </c>
      <c r="D155" s="88" t="s">
        <v>371</v>
      </c>
      <c r="E155" s="98" t="n">
        <v>255.25</v>
      </c>
      <c r="F155" s="102" t="n">
        <f aca="false">$E155*Parametros!$C$22</f>
        <v>1225.2</v>
      </c>
      <c r="G155" s="90" t="n">
        <v>0.78</v>
      </c>
      <c r="H155" s="102" t="n">
        <f aca="false">$E155*Parametros!$C$23</f>
        <v>153.15</v>
      </c>
      <c r="I155" s="90" t="n">
        <v>0.36</v>
      </c>
    </row>
    <row r="156" customFormat="false" ht="15" hidden="false" customHeight="false" outlineLevel="0" collapsed="false">
      <c r="A156" s="88" t="s">
        <v>146</v>
      </c>
      <c r="B156" s="97" t="n">
        <v>6</v>
      </c>
      <c r="C156" s="88" t="s">
        <v>149</v>
      </c>
      <c r="D156" s="88" t="s">
        <v>372</v>
      </c>
      <c r="E156" s="98" t="n">
        <v>255.25</v>
      </c>
      <c r="F156" s="102" t="n">
        <f aca="false">$E156*Parametros!$C$22</f>
        <v>1225.2</v>
      </c>
      <c r="G156" s="90" t="n">
        <v>0.7</v>
      </c>
      <c r="H156" s="102" t="n">
        <f aca="false">$E156*Parametros!$C$23</f>
        <v>153.15</v>
      </c>
      <c r="I156" s="90" t="n">
        <v>1.64</v>
      </c>
    </row>
    <row r="157" customFormat="false" ht="15" hidden="false" customHeight="false" outlineLevel="0" collapsed="false">
      <c r="A157" s="88" t="s">
        <v>146</v>
      </c>
      <c r="B157" s="97" t="n">
        <v>6</v>
      </c>
      <c r="C157" s="88" t="s">
        <v>149</v>
      </c>
      <c r="D157" s="88" t="s">
        <v>373</v>
      </c>
      <c r="E157" s="98" t="n">
        <v>255.25</v>
      </c>
      <c r="F157" s="102" t="n">
        <f aca="false">$E157*Parametros!$C$22</f>
        <v>1225.2</v>
      </c>
      <c r="G157" s="90" t="n">
        <v>2.02</v>
      </c>
      <c r="H157" s="102" t="n">
        <f aca="false">$E157*Parametros!$C$23</f>
        <v>153.15</v>
      </c>
      <c r="I157" s="90" t="n">
        <v>0.46</v>
      </c>
    </row>
    <row r="158" customFormat="false" ht="15" hidden="false" customHeight="false" outlineLevel="0" collapsed="false">
      <c r="A158" s="88" t="s">
        <v>146</v>
      </c>
      <c r="B158" s="97" t="n">
        <v>6</v>
      </c>
      <c r="C158" s="88" t="s">
        <v>149</v>
      </c>
      <c r="D158" s="88" t="s">
        <v>374</v>
      </c>
      <c r="E158" s="98" t="n">
        <v>255.25</v>
      </c>
      <c r="F158" s="102" t="n">
        <f aca="false">$E158*Parametros!$C$22</f>
        <v>1225.2</v>
      </c>
      <c r="G158" s="90" t="n">
        <v>0.5</v>
      </c>
      <c r="H158" s="102" t="n">
        <f aca="false">$E158*Parametros!$C$23</f>
        <v>153.15</v>
      </c>
      <c r="I158" s="90" t="n">
        <v>1.95</v>
      </c>
    </row>
    <row r="159" customFormat="false" ht="15" hidden="false" customHeight="false" outlineLevel="0" collapsed="false">
      <c r="A159" s="88" t="s">
        <v>146</v>
      </c>
      <c r="B159" s="97" t="n">
        <v>6</v>
      </c>
      <c r="C159" s="88" t="s">
        <v>149</v>
      </c>
      <c r="D159" s="88" t="s">
        <v>375</v>
      </c>
      <c r="E159" s="98" t="n">
        <v>255.25</v>
      </c>
      <c r="F159" s="102" t="n">
        <f aca="false">$E159*Parametros!$C$22</f>
        <v>1225.2</v>
      </c>
      <c r="G159" s="90" t="n">
        <v>0.5</v>
      </c>
      <c r="H159" s="102" t="n">
        <f aca="false">$E159*Parametros!$C$23</f>
        <v>153.15</v>
      </c>
      <c r="I159" s="90" t="n">
        <v>0.95</v>
      </c>
    </row>
    <row r="160" customFormat="false" ht="15" hidden="false" customHeight="false" outlineLevel="0" collapsed="false">
      <c r="A160" s="88" t="s">
        <v>146</v>
      </c>
      <c r="B160" s="97" t="n">
        <v>6</v>
      </c>
      <c r="C160" s="88" t="s">
        <v>149</v>
      </c>
      <c r="D160" s="88" t="s">
        <v>376</v>
      </c>
      <c r="E160" s="98" t="n">
        <v>255.25</v>
      </c>
      <c r="F160" s="102" t="n">
        <f aca="false">$E160*Parametros!$C$22</f>
        <v>1225.2</v>
      </c>
      <c r="G160" s="90" t="n">
        <v>1.15</v>
      </c>
      <c r="H160" s="102" t="n">
        <f aca="false">$E160*Parametros!$C$23</f>
        <v>153.15</v>
      </c>
      <c r="I160" s="90" t="n">
        <v>0.19</v>
      </c>
    </row>
    <row r="161" customFormat="false" ht="15" hidden="false" customHeight="false" outlineLevel="0" collapsed="false">
      <c r="A161" s="88" t="s">
        <v>146</v>
      </c>
      <c r="B161" s="97" t="n">
        <v>6</v>
      </c>
      <c r="C161" s="88" t="s">
        <v>149</v>
      </c>
      <c r="D161" s="88" t="s">
        <v>377</v>
      </c>
      <c r="E161" s="98" t="n">
        <v>255.25</v>
      </c>
      <c r="F161" s="102" t="n">
        <f aca="false">$E161*Parametros!$C$22</f>
        <v>1225.2</v>
      </c>
      <c r="G161" s="90" t="n">
        <v>1.1</v>
      </c>
      <c r="H161" s="102" t="n">
        <f aca="false">$E161*Parametros!$C$23</f>
        <v>153.15</v>
      </c>
      <c r="I161" s="90" t="n">
        <v>0.1</v>
      </c>
    </row>
    <row r="162" customFormat="false" ht="15" hidden="false" customHeight="false" outlineLevel="0" collapsed="false">
      <c r="A162" s="88" t="s">
        <v>146</v>
      </c>
      <c r="B162" s="97" t="n">
        <v>7</v>
      </c>
      <c r="C162" s="88" t="s">
        <v>153</v>
      </c>
      <c r="D162" s="88" t="s">
        <v>368</v>
      </c>
      <c r="E162" s="98" t="n">
        <v>328.98</v>
      </c>
      <c r="F162" s="102" t="n">
        <f aca="false">$E162*Parametros!$C$22</f>
        <v>1579.104</v>
      </c>
      <c r="G162" s="90" t="n">
        <v>1.12</v>
      </c>
      <c r="H162" s="102" t="n">
        <f aca="false">$E162*Parametros!$C$23</f>
        <v>197.388</v>
      </c>
      <c r="I162" s="90" t="n">
        <v>0.21</v>
      </c>
    </row>
    <row r="163" customFormat="false" ht="15" hidden="false" customHeight="false" outlineLevel="0" collapsed="false">
      <c r="A163" s="88" t="s">
        <v>146</v>
      </c>
      <c r="B163" s="97" t="n">
        <v>7</v>
      </c>
      <c r="C163" s="88" t="s">
        <v>153</v>
      </c>
      <c r="D163" s="88" t="s">
        <v>369</v>
      </c>
      <c r="E163" s="98" t="n">
        <v>328.98</v>
      </c>
      <c r="F163" s="102" t="n">
        <f aca="false">$E163*Parametros!$C$22</f>
        <v>1579.104</v>
      </c>
      <c r="G163" s="90"/>
      <c r="H163" s="102" t="n">
        <f aca="false">$E163*Parametros!$C$23</f>
        <v>197.388</v>
      </c>
      <c r="I163" s="90" t="n">
        <v>0.36</v>
      </c>
    </row>
    <row r="164" customFormat="false" ht="15" hidden="false" customHeight="false" outlineLevel="0" collapsed="false">
      <c r="A164" s="88" t="s">
        <v>146</v>
      </c>
      <c r="B164" s="97" t="n">
        <v>7</v>
      </c>
      <c r="C164" s="88" t="s">
        <v>153</v>
      </c>
      <c r="D164" s="88" t="s">
        <v>370</v>
      </c>
      <c r="E164" s="98" t="n">
        <v>328.98</v>
      </c>
      <c r="F164" s="102" t="n">
        <f aca="false">$E164*Parametros!$C$22</f>
        <v>1579.104</v>
      </c>
      <c r="G164" s="90" t="n">
        <v>0.6</v>
      </c>
      <c r="H164" s="102" t="n">
        <f aca="false">$E164*Parametros!$C$23</f>
        <v>197.388</v>
      </c>
      <c r="I164" s="90" t="n">
        <v>0.13</v>
      </c>
    </row>
    <row r="165" customFormat="false" ht="15" hidden="false" customHeight="false" outlineLevel="0" collapsed="false">
      <c r="A165" s="88" t="s">
        <v>146</v>
      </c>
      <c r="B165" s="97" t="n">
        <v>7</v>
      </c>
      <c r="C165" s="88" t="s">
        <v>153</v>
      </c>
      <c r="D165" s="88" t="s">
        <v>371</v>
      </c>
      <c r="E165" s="98" t="n">
        <v>328.98</v>
      </c>
      <c r="F165" s="102" t="n">
        <f aca="false">$E165*Parametros!$C$22</f>
        <v>1579.104</v>
      </c>
      <c r="G165" s="90" t="n">
        <v>0.63</v>
      </c>
      <c r="H165" s="102" t="n">
        <f aca="false">$E165*Parametros!$C$23</f>
        <v>197.388</v>
      </c>
      <c r="I165" s="90" t="n">
        <v>0.23</v>
      </c>
    </row>
    <row r="166" customFormat="false" ht="15" hidden="false" customHeight="false" outlineLevel="0" collapsed="false">
      <c r="A166" s="88" t="s">
        <v>146</v>
      </c>
      <c r="B166" s="97" t="n">
        <v>7</v>
      </c>
      <c r="C166" s="88" t="s">
        <v>153</v>
      </c>
      <c r="D166" s="88" t="s">
        <v>372</v>
      </c>
      <c r="E166" s="98" t="n">
        <v>328.98</v>
      </c>
      <c r="F166" s="102" t="n">
        <f aca="false">$E166*Parametros!$C$22</f>
        <v>1579.104</v>
      </c>
      <c r="G166" s="90" t="n">
        <v>0.76</v>
      </c>
      <c r="H166" s="102" t="n">
        <f aca="false">$E166*Parametros!$C$23</f>
        <v>197.388</v>
      </c>
      <c r="I166" s="90" t="n">
        <v>0.39</v>
      </c>
    </row>
    <row r="167" customFormat="false" ht="15" hidden="false" customHeight="false" outlineLevel="0" collapsed="false">
      <c r="A167" s="88" t="s">
        <v>146</v>
      </c>
      <c r="B167" s="97" t="n">
        <v>7</v>
      </c>
      <c r="C167" s="88" t="s">
        <v>153</v>
      </c>
      <c r="D167" s="88" t="s">
        <v>373</v>
      </c>
      <c r="E167" s="98" t="n">
        <v>328.98</v>
      </c>
      <c r="F167" s="102" t="n">
        <f aca="false">$E167*Parametros!$C$22</f>
        <v>1579.104</v>
      </c>
      <c r="G167" s="90" t="n">
        <v>1.37</v>
      </c>
      <c r="H167" s="102" t="n">
        <f aca="false">$E167*Parametros!$C$23</f>
        <v>197.388</v>
      </c>
      <c r="I167" s="90" t="n">
        <v>0.34</v>
      </c>
    </row>
    <row r="168" customFormat="false" ht="15" hidden="false" customHeight="false" outlineLevel="0" collapsed="false">
      <c r="A168" s="88" t="s">
        <v>146</v>
      </c>
      <c r="B168" s="97" t="n">
        <v>7</v>
      </c>
      <c r="C168" s="88" t="s">
        <v>153</v>
      </c>
      <c r="D168" s="88" t="s">
        <v>374</v>
      </c>
      <c r="E168" s="98" t="n">
        <v>328.98</v>
      </c>
      <c r="F168" s="102" t="n">
        <f aca="false">$E168*Parametros!$C$22</f>
        <v>1579.104</v>
      </c>
      <c r="G168" s="90" t="n">
        <v>0.41</v>
      </c>
      <c r="H168" s="102" t="n">
        <f aca="false">$E168*Parametros!$C$23</f>
        <v>197.388</v>
      </c>
      <c r="I168" s="90" t="n">
        <v>1.76</v>
      </c>
    </row>
    <row r="169" customFormat="false" ht="15" hidden="false" customHeight="false" outlineLevel="0" collapsed="false">
      <c r="A169" s="88" t="s">
        <v>146</v>
      </c>
      <c r="B169" s="97" t="n">
        <v>7</v>
      </c>
      <c r="C169" s="88" t="s">
        <v>153</v>
      </c>
      <c r="D169" s="88" t="s">
        <v>375</v>
      </c>
      <c r="E169" s="98" t="n">
        <v>328.98</v>
      </c>
      <c r="F169" s="102" t="n">
        <f aca="false">$E169*Parametros!$C$22</f>
        <v>1579.104</v>
      </c>
      <c r="G169" s="90" t="n">
        <v>0.5</v>
      </c>
      <c r="H169" s="102" t="n">
        <f aca="false">$E169*Parametros!$C$23</f>
        <v>197.388</v>
      </c>
      <c r="I169" s="90" t="n">
        <v>1.88</v>
      </c>
    </row>
    <row r="170" customFormat="false" ht="15" hidden="false" customHeight="false" outlineLevel="0" collapsed="false">
      <c r="A170" s="88" t="s">
        <v>146</v>
      </c>
      <c r="B170" s="97" t="n">
        <v>7</v>
      </c>
      <c r="C170" s="88" t="s">
        <v>153</v>
      </c>
      <c r="D170" s="88" t="s">
        <v>376</v>
      </c>
      <c r="E170" s="98" t="n">
        <v>328.98</v>
      </c>
      <c r="F170" s="102" t="n">
        <f aca="false">$E170*Parametros!$C$22</f>
        <v>1579.104</v>
      </c>
      <c r="G170" s="90" t="n">
        <v>1.2</v>
      </c>
      <c r="H170" s="102" t="n">
        <f aca="false">$E170*Parametros!$C$23</f>
        <v>197.388</v>
      </c>
      <c r="I170" s="90" t="n">
        <v>0.21</v>
      </c>
    </row>
    <row r="171" customFormat="false" ht="15" hidden="false" customHeight="false" outlineLevel="0" collapsed="false">
      <c r="A171" s="88" t="s">
        <v>146</v>
      </c>
      <c r="B171" s="97" t="n">
        <v>7</v>
      </c>
      <c r="C171" s="88" t="s">
        <v>153</v>
      </c>
      <c r="D171" s="88" t="s">
        <v>377</v>
      </c>
      <c r="E171" s="98" t="n">
        <v>328.98</v>
      </c>
      <c r="F171" s="102" t="n">
        <f aca="false">$E171*Parametros!$C$22</f>
        <v>1579.104</v>
      </c>
      <c r="G171" s="90" t="n">
        <v>1.57</v>
      </c>
      <c r="H171" s="102" t="n">
        <f aca="false">$E171*Parametros!$C$23</f>
        <v>197.388</v>
      </c>
      <c r="I171" s="90" t="n">
        <v>0.1</v>
      </c>
    </row>
    <row r="172" customFormat="false" ht="15" hidden="false" customHeight="false" outlineLevel="0" collapsed="false">
      <c r="A172" s="88" t="s">
        <v>146</v>
      </c>
      <c r="B172" s="97" t="n">
        <v>8</v>
      </c>
      <c r="C172" s="88" t="s">
        <v>148</v>
      </c>
      <c r="D172" s="88" t="s">
        <v>368</v>
      </c>
      <c r="E172" s="98" t="n">
        <v>511.13</v>
      </c>
      <c r="F172" s="102" t="n">
        <f aca="false">$E172*Parametros!$C$22</f>
        <v>2453.424</v>
      </c>
      <c r="G172" s="90" t="n">
        <v>1.2</v>
      </c>
      <c r="H172" s="102" t="n">
        <f aca="false">$E172*Parametros!$C$23</f>
        <v>306.678</v>
      </c>
      <c r="I172" s="90" t="n">
        <v>1.97</v>
      </c>
    </row>
    <row r="173" customFormat="false" ht="15" hidden="false" customHeight="false" outlineLevel="0" collapsed="false">
      <c r="A173" s="88" t="s">
        <v>146</v>
      </c>
      <c r="B173" s="97" t="n">
        <v>8</v>
      </c>
      <c r="C173" s="88" t="s">
        <v>148</v>
      </c>
      <c r="D173" s="88" t="s">
        <v>369</v>
      </c>
      <c r="E173" s="98" t="n">
        <v>511.13</v>
      </c>
      <c r="F173" s="102" t="n">
        <f aca="false">$E173*Parametros!$C$22</f>
        <v>2453.424</v>
      </c>
      <c r="G173" s="90"/>
      <c r="H173" s="102" t="n">
        <f aca="false">$E173*Parametros!$C$23</f>
        <v>306.678</v>
      </c>
      <c r="I173" s="90" t="n">
        <v>0.45</v>
      </c>
    </row>
    <row r="174" customFormat="false" ht="15" hidden="false" customHeight="false" outlineLevel="0" collapsed="false">
      <c r="A174" s="88" t="s">
        <v>146</v>
      </c>
      <c r="B174" s="97" t="n">
        <v>8</v>
      </c>
      <c r="C174" s="88" t="s">
        <v>148</v>
      </c>
      <c r="D174" s="88" t="s">
        <v>370</v>
      </c>
      <c r="E174" s="98" t="n">
        <v>511.13</v>
      </c>
      <c r="F174" s="102" t="n">
        <f aca="false">$E174*Parametros!$C$22</f>
        <v>2453.424</v>
      </c>
      <c r="G174" s="90" t="n">
        <v>1</v>
      </c>
      <c r="H174" s="102" t="n">
        <f aca="false">$E174*Parametros!$C$23</f>
        <v>306.678</v>
      </c>
      <c r="I174" s="90" t="n">
        <v>0.12</v>
      </c>
    </row>
    <row r="175" customFormat="false" ht="15" hidden="false" customHeight="false" outlineLevel="0" collapsed="false">
      <c r="A175" s="88" t="s">
        <v>146</v>
      </c>
      <c r="B175" s="97" t="n">
        <v>8</v>
      </c>
      <c r="C175" s="88" t="s">
        <v>148</v>
      </c>
      <c r="D175" s="88" t="s">
        <v>371</v>
      </c>
      <c r="E175" s="98" t="n">
        <v>511.13</v>
      </c>
      <c r="F175" s="102" t="n">
        <f aca="false">$E175*Parametros!$C$22</f>
        <v>2453.424</v>
      </c>
      <c r="G175" s="90" t="n">
        <v>0.55</v>
      </c>
      <c r="H175" s="102" t="n">
        <f aca="false">$E175*Parametros!$C$23</f>
        <v>306.678</v>
      </c>
      <c r="I175" s="90" t="n">
        <v>0.84</v>
      </c>
    </row>
    <row r="176" customFormat="false" ht="15" hidden="false" customHeight="false" outlineLevel="0" collapsed="false">
      <c r="A176" s="88" t="s">
        <v>146</v>
      </c>
      <c r="B176" s="97" t="n">
        <v>8</v>
      </c>
      <c r="C176" s="88" t="s">
        <v>148</v>
      </c>
      <c r="D176" s="88" t="s">
        <v>372</v>
      </c>
      <c r="E176" s="98" t="n">
        <v>511.13</v>
      </c>
      <c r="F176" s="102" t="n">
        <f aca="false">$E176*Parametros!$C$22</f>
        <v>2453.424</v>
      </c>
      <c r="G176" s="90" t="n">
        <v>0.9</v>
      </c>
      <c r="H176" s="102" t="n">
        <f aca="false">$E176*Parametros!$C$23</f>
        <v>306.678</v>
      </c>
      <c r="I176" s="90" t="n">
        <v>0.51</v>
      </c>
    </row>
    <row r="177" customFormat="false" ht="15" hidden="false" customHeight="false" outlineLevel="0" collapsed="false">
      <c r="A177" s="88" t="s">
        <v>146</v>
      </c>
      <c r="B177" s="97" t="n">
        <v>8</v>
      </c>
      <c r="C177" s="88" t="s">
        <v>148</v>
      </c>
      <c r="D177" s="88" t="s">
        <v>373</v>
      </c>
      <c r="E177" s="98" t="n">
        <v>511.13</v>
      </c>
      <c r="F177" s="102" t="n">
        <f aca="false">$E177*Parametros!$C$22</f>
        <v>2453.424</v>
      </c>
      <c r="G177" s="90" t="n">
        <v>0.67</v>
      </c>
      <c r="H177" s="102" t="n">
        <f aca="false">$E177*Parametros!$C$23</f>
        <v>306.678</v>
      </c>
      <c r="I177" s="90" t="n">
        <v>0.22</v>
      </c>
    </row>
    <row r="178" customFormat="false" ht="15" hidden="false" customHeight="false" outlineLevel="0" collapsed="false">
      <c r="A178" s="88" t="s">
        <v>146</v>
      </c>
      <c r="B178" s="97" t="n">
        <v>8</v>
      </c>
      <c r="C178" s="88" t="s">
        <v>148</v>
      </c>
      <c r="D178" s="88" t="s">
        <v>374</v>
      </c>
      <c r="E178" s="98" t="n">
        <v>511.13</v>
      </c>
      <c r="F178" s="102" t="n">
        <f aca="false">$E178*Parametros!$C$22</f>
        <v>2453.424</v>
      </c>
      <c r="G178" s="90" t="n">
        <v>0.45</v>
      </c>
      <c r="H178" s="102" t="n">
        <f aca="false">$E178*Parametros!$C$23</f>
        <v>306.678</v>
      </c>
      <c r="I178" s="90" t="n">
        <v>2.87</v>
      </c>
    </row>
    <row r="179" customFormat="false" ht="15" hidden="false" customHeight="false" outlineLevel="0" collapsed="false">
      <c r="A179" s="88" t="s">
        <v>146</v>
      </c>
      <c r="B179" s="97" t="n">
        <v>8</v>
      </c>
      <c r="C179" s="88" t="s">
        <v>148</v>
      </c>
      <c r="D179" s="88" t="s">
        <v>375</v>
      </c>
      <c r="E179" s="98" t="n">
        <v>511.13</v>
      </c>
      <c r="F179" s="102" t="n">
        <f aca="false">$E179*Parametros!$C$22</f>
        <v>2453.424</v>
      </c>
      <c r="G179" s="90" t="n">
        <v>0.5</v>
      </c>
      <c r="H179" s="102" t="n">
        <f aca="false">$E179*Parametros!$C$23</f>
        <v>306.678</v>
      </c>
      <c r="I179" s="90" t="n">
        <v>2.6</v>
      </c>
    </row>
    <row r="180" customFormat="false" ht="15" hidden="false" customHeight="false" outlineLevel="0" collapsed="false">
      <c r="A180" s="88" t="s">
        <v>146</v>
      </c>
      <c r="B180" s="97" t="n">
        <v>8</v>
      </c>
      <c r="C180" s="88" t="s">
        <v>148</v>
      </c>
      <c r="D180" s="88" t="s">
        <v>376</v>
      </c>
      <c r="E180" s="98" t="n">
        <v>511.13</v>
      </c>
      <c r="F180" s="102" t="n">
        <f aca="false">$E180*Parametros!$C$22</f>
        <v>2453.424</v>
      </c>
      <c r="G180" s="90" t="n">
        <v>1.15</v>
      </c>
      <c r="H180" s="102" t="n">
        <f aca="false">$E180*Parametros!$C$23</f>
        <v>306.678</v>
      </c>
      <c r="I180" s="90" t="n">
        <v>0.22</v>
      </c>
    </row>
    <row r="181" customFormat="false" ht="15" hidden="false" customHeight="false" outlineLevel="0" collapsed="false">
      <c r="A181" s="88" t="s">
        <v>146</v>
      </c>
      <c r="B181" s="97" t="n">
        <v>8</v>
      </c>
      <c r="C181" s="88" t="s">
        <v>148</v>
      </c>
      <c r="D181" s="88" t="s">
        <v>377</v>
      </c>
      <c r="E181" s="98" t="n">
        <v>511.13</v>
      </c>
      <c r="F181" s="102" t="n">
        <f aca="false">$E181*Parametros!$C$22</f>
        <v>2453.424</v>
      </c>
      <c r="G181" s="90" t="n">
        <v>1.66</v>
      </c>
      <c r="H181" s="102" t="n">
        <f aca="false">$E181*Parametros!$C$23</f>
        <v>306.678</v>
      </c>
      <c r="I181" s="90" t="n">
        <v>0.1</v>
      </c>
    </row>
    <row r="182" customFormat="false" ht="15" hidden="false" customHeight="false" outlineLevel="0" collapsed="false">
      <c r="A182" s="88" t="s">
        <v>158</v>
      </c>
      <c r="B182" s="97" t="n">
        <v>1</v>
      </c>
      <c r="C182" s="88" t="s">
        <v>161</v>
      </c>
      <c r="D182" s="88" t="s">
        <v>378</v>
      </c>
      <c r="E182" s="98" t="n">
        <v>450.63</v>
      </c>
      <c r="F182" s="102" t="n">
        <f aca="false">$E182*Parametros!$C$22</f>
        <v>2163.024</v>
      </c>
      <c r="G182" s="90" t="n">
        <v>0.5</v>
      </c>
      <c r="H182" s="102" t="n">
        <f aca="false">$E182*Parametros!$C$23</f>
        <v>270.378</v>
      </c>
      <c r="I182" s="90" t="n">
        <v>0.1</v>
      </c>
    </row>
    <row r="183" customFormat="false" ht="15" hidden="false" customHeight="false" outlineLevel="0" collapsed="false">
      <c r="A183" s="88" t="s">
        <v>158</v>
      </c>
      <c r="B183" s="97" t="n">
        <v>1</v>
      </c>
      <c r="C183" s="88" t="s">
        <v>161</v>
      </c>
      <c r="D183" s="88" t="s">
        <v>379</v>
      </c>
      <c r="E183" s="98" t="n">
        <v>450.63</v>
      </c>
      <c r="F183" s="102" t="n">
        <f aca="false">$E183*Parametros!$C$22</f>
        <v>2163.024</v>
      </c>
      <c r="G183" s="90" t="n">
        <v>0.5</v>
      </c>
      <c r="H183" s="102" t="n">
        <f aca="false">$E183*Parametros!$C$23</f>
        <v>270.378</v>
      </c>
      <c r="I183" s="90" t="n">
        <v>0.1</v>
      </c>
    </row>
    <row r="184" customFormat="false" ht="15" hidden="false" customHeight="false" outlineLevel="0" collapsed="false">
      <c r="A184" s="88" t="s">
        <v>158</v>
      </c>
      <c r="B184" s="97" t="n">
        <v>1</v>
      </c>
      <c r="C184" s="88" t="s">
        <v>161</v>
      </c>
      <c r="D184" s="88" t="s">
        <v>380</v>
      </c>
      <c r="E184" s="98" t="n">
        <v>450.63</v>
      </c>
      <c r="F184" s="102" t="n">
        <f aca="false">$E184*Parametros!$C$22</f>
        <v>2163.024</v>
      </c>
      <c r="G184" s="90"/>
      <c r="H184" s="102" t="n">
        <f aca="false">$E184*Parametros!$C$23</f>
        <v>270.378</v>
      </c>
      <c r="I184" s="90" t="n">
        <v>0.37</v>
      </c>
    </row>
    <row r="185" customFormat="false" ht="15" hidden="false" customHeight="false" outlineLevel="0" collapsed="false">
      <c r="A185" s="88" t="s">
        <v>158</v>
      </c>
      <c r="B185" s="97" t="n">
        <v>1</v>
      </c>
      <c r="C185" s="88" t="s">
        <v>161</v>
      </c>
      <c r="D185" s="88" t="s">
        <v>381</v>
      </c>
      <c r="E185" s="98" t="n">
        <v>450.63</v>
      </c>
      <c r="F185" s="102" t="n">
        <f aca="false">$E185*Parametros!$C$22</f>
        <v>2163.024</v>
      </c>
      <c r="G185" s="90" t="n">
        <v>0.5</v>
      </c>
      <c r="H185" s="102" t="n">
        <f aca="false">$E185*Parametros!$C$23</f>
        <v>270.378</v>
      </c>
      <c r="I185" s="90" t="n">
        <v>0.37</v>
      </c>
    </row>
    <row r="186" customFormat="false" ht="15" hidden="false" customHeight="false" outlineLevel="0" collapsed="false">
      <c r="A186" s="88" t="s">
        <v>158</v>
      </c>
      <c r="B186" s="97" t="n">
        <v>1</v>
      </c>
      <c r="C186" s="88" t="s">
        <v>161</v>
      </c>
      <c r="D186" s="88" t="s">
        <v>382</v>
      </c>
      <c r="E186" s="98" t="n">
        <v>450.63</v>
      </c>
      <c r="F186" s="102" t="n">
        <f aca="false">$E186*Parametros!$C$22</f>
        <v>2163.024</v>
      </c>
      <c r="G186" s="90"/>
      <c r="H186" s="102" t="n">
        <f aca="false">$E186*Parametros!$C$23</f>
        <v>270.378</v>
      </c>
      <c r="I186" s="90" t="n">
        <v>0.35</v>
      </c>
    </row>
    <row r="187" customFormat="false" ht="15" hidden="false" customHeight="false" outlineLevel="0" collapsed="false">
      <c r="A187" s="88" t="s">
        <v>158</v>
      </c>
      <c r="B187" s="97" t="n">
        <v>1</v>
      </c>
      <c r="C187" s="88" t="s">
        <v>161</v>
      </c>
      <c r="D187" s="88" t="s">
        <v>383</v>
      </c>
      <c r="E187" s="98" t="n">
        <v>450.63</v>
      </c>
      <c r="F187" s="102" t="n">
        <f aca="false">$E187*Parametros!$C$22</f>
        <v>2163.024</v>
      </c>
      <c r="G187" s="90" t="n">
        <v>0.5</v>
      </c>
      <c r="H187" s="102" t="n">
        <f aca="false">$E187*Parametros!$C$23</f>
        <v>270.378</v>
      </c>
      <c r="I187" s="90" t="n">
        <v>0.25</v>
      </c>
    </row>
    <row r="188" customFormat="false" ht="15" hidden="false" customHeight="false" outlineLevel="0" collapsed="false">
      <c r="A188" s="88" t="s">
        <v>158</v>
      </c>
      <c r="B188" s="97" t="n">
        <v>1</v>
      </c>
      <c r="C188" s="88" t="s">
        <v>161</v>
      </c>
      <c r="D188" s="88" t="s">
        <v>384</v>
      </c>
      <c r="E188" s="98" t="n">
        <v>450.63</v>
      </c>
      <c r="F188" s="102" t="n">
        <f aca="false">$E188*Parametros!$C$22</f>
        <v>2163.024</v>
      </c>
      <c r="G188" s="90" t="n">
        <v>0.7</v>
      </c>
      <c r="H188" s="102" t="n">
        <f aca="false">$E188*Parametros!$C$23</f>
        <v>270.378</v>
      </c>
      <c r="I188" s="90" t="n">
        <v>0.19</v>
      </c>
    </row>
    <row r="189" customFormat="false" ht="15" hidden="false" customHeight="false" outlineLevel="0" collapsed="false">
      <c r="A189" s="88" t="s">
        <v>158</v>
      </c>
      <c r="B189" s="97" t="n">
        <v>1</v>
      </c>
      <c r="C189" s="88" t="s">
        <v>161</v>
      </c>
      <c r="D189" s="88" t="s">
        <v>385</v>
      </c>
      <c r="E189" s="98" t="n">
        <v>450.63</v>
      </c>
      <c r="F189" s="102" t="n">
        <f aca="false">$E189*Parametros!$C$22</f>
        <v>2163.024</v>
      </c>
      <c r="G189" s="90" t="n">
        <v>0.5</v>
      </c>
      <c r="H189" s="102" t="n">
        <f aca="false">$E189*Parametros!$C$23</f>
        <v>270.378</v>
      </c>
      <c r="I189" s="90" t="n">
        <v>0.1</v>
      </c>
    </row>
    <row r="190" customFormat="false" ht="15" hidden="false" customHeight="false" outlineLevel="0" collapsed="false">
      <c r="A190" s="88" t="s">
        <v>158</v>
      </c>
      <c r="B190" s="97" t="n">
        <v>1</v>
      </c>
      <c r="C190" s="88" t="s">
        <v>161</v>
      </c>
      <c r="D190" s="88" t="s">
        <v>386</v>
      </c>
      <c r="E190" s="98" t="n">
        <v>450.63</v>
      </c>
      <c r="F190" s="102" t="n">
        <f aca="false">$E190*Parametros!$C$22</f>
        <v>2163.024</v>
      </c>
      <c r="G190" s="90" t="n">
        <v>0.5</v>
      </c>
      <c r="H190" s="102" t="n">
        <f aca="false">$E190*Parametros!$C$23</f>
        <v>270.378</v>
      </c>
      <c r="I190" s="90" t="n">
        <v>0.1</v>
      </c>
    </row>
    <row r="191" customFormat="false" ht="15" hidden="false" customHeight="false" outlineLevel="0" collapsed="false">
      <c r="A191" s="88" t="s">
        <v>158</v>
      </c>
      <c r="B191" s="97" t="n">
        <v>1</v>
      </c>
      <c r="C191" s="88" t="s">
        <v>161</v>
      </c>
      <c r="D191" s="88" t="s">
        <v>387</v>
      </c>
      <c r="E191" s="98" t="n">
        <v>450.63</v>
      </c>
      <c r="F191" s="102" t="n">
        <f aca="false">$E191*Parametros!$C$22</f>
        <v>2163.024</v>
      </c>
      <c r="G191" s="90" t="n">
        <v>0.51</v>
      </c>
      <c r="H191" s="102" t="n">
        <f aca="false">$E191*Parametros!$C$23</f>
        <v>270.378</v>
      </c>
      <c r="I191" s="90" t="n">
        <v>0.1</v>
      </c>
    </row>
    <row r="192" customFormat="false" ht="15" hidden="false" customHeight="false" outlineLevel="0" collapsed="false">
      <c r="A192" s="88" t="s">
        <v>158</v>
      </c>
      <c r="B192" s="97" t="n">
        <v>1</v>
      </c>
      <c r="C192" s="88" t="s">
        <v>161</v>
      </c>
      <c r="D192" s="88" t="s">
        <v>388</v>
      </c>
      <c r="E192" s="98" t="n">
        <v>450.63</v>
      </c>
      <c r="F192" s="102" t="n">
        <f aca="false">$E192*Parametros!$C$22</f>
        <v>2163.024</v>
      </c>
      <c r="G192" s="90" t="n">
        <v>0.5</v>
      </c>
      <c r="H192" s="102" t="n">
        <f aca="false">$E192*Parametros!$C$23</f>
        <v>270.378</v>
      </c>
      <c r="I192" s="90" t="n">
        <v>0.1</v>
      </c>
    </row>
    <row r="193" customFormat="false" ht="15" hidden="false" customHeight="false" outlineLevel="0" collapsed="false">
      <c r="A193" s="88" t="s">
        <v>158</v>
      </c>
      <c r="B193" s="97" t="n">
        <v>2</v>
      </c>
      <c r="C193" s="88" t="s">
        <v>162</v>
      </c>
      <c r="D193" s="88" t="s">
        <v>378</v>
      </c>
      <c r="E193" s="98" t="n">
        <v>1613.65</v>
      </c>
      <c r="F193" s="102" t="n">
        <f aca="false">$E193*Parametros!$C$22</f>
        <v>7745.52</v>
      </c>
      <c r="G193" s="90" t="n">
        <v>1.03</v>
      </c>
      <c r="H193" s="102" t="n">
        <f aca="false">$E193*Parametros!$C$23</f>
        <v>968.19</v>
      </c>
      <c r="I193" s="90" t="n">
        <v>0.1</v>
      </c>
    </row>
    <row r="194" customFormat="false" ht="15" hidden="false" customHeight="false" outlineLevel="0" collapsed="false">
      <c r="A194" s="88" t="s">
        <v>158</v>
      </c>
      <c r="B194" s="97" t="n">
        <v>2</v>
      </c>
      <c r="C194" s="88" t="s">
        <v>162</v>
      </c>
      <c r="D194" s="88" t="s">
        <v>379</v>
      </c>
      <c r="E194" s="98" t="n">
        <v>1613.65</v>
      </c>
      <c r="F194" s="102" t="n">
        <f aca="false">$E194*Parametros!$C$22</f>
        <v>7745.52</v>
      </c>
      <c r="G194" s="90" t="n">
        <v>0.5</v>
      </c>
      <c r="H194" s="102" t="n">
        <f aca="false">$E194*Parametros!$C$23</f>
        <v>968.19</v>
      </c>
      <c r="I194" s="90" t="n">
        <v>0.1</v>
      </c>
    </row>
    <row r="195" customFormat="false" ht="15" hidden="false" customHeight="false" outlineLevel="0" collapsed="false">
      <c r="A195" s="88" t="s">
        <v>158</v>
      </c>
      <c r="B195" s="97" t="n">
        <v>2</v>
      </c>
      <c r="C195" s="88" t="s">
        <v>162</v>
      </c>
      <c r="D195" s="88" t="s">
        <v>380</v>
      </c>
      <c r="E195" s="98" t="n">
        <v>1613.65</v>
      </c>
      <c r="F195" s="102" t="n">
        <f aca="false">$E195*Parametros!$C$22</f>
        <v>7745.52</v>
      </c>
      <c r="G195" s="90"/>
      <c r="H195" s="102" t="n">
        <f aca="false">$E195*Parametros!$C$23</f>
        <v>968.19</v>
      </c>
      <c r="I195" s="90" t="n">
        <v>1.73</v>
      </c>
    </row>
    <row r="196" customFormat="false" ht="15" hidden="false" customHeight="false" outlineLevel="0" collapsed="false">
      <c r="A196" s="88" t="s">
        <v>158</v>
      </c>
      <c r="B196" s="97" t="n">
        <v>2</v>
      </c>
      <c r="C196" s="88" t="s">
        <v>162</v>
      </c>
      <c r="D196" s="88" t="s">
        <v>381</v>
      </c>
      <c r="E196" s="98" t="n">
        <v>1613.65</v>
      </c>
      <c r="F196" s="102" t="n">
        <f aca="false">$E196*Parametros!$C$22</f>
        <v>7745.52</v>
      </c>
      <c r="G196" s="90" t="n">
        <v>0.5</v>
      </c>
      <c r="H196" s="102" t="n">
        <f aca="false">$E196*Parametros!$C$23</f>
        <v>968.19</v>
      </c>
      <c r="I196" s="90" t="n">
        <v>0.1</v>
      </c>
    </row>
    <row r="197" customFormat="false" ht="15" hidden="false" customHeight="false" outlineLevel="0" collapsed="false">
      <c r="A197" s="88" t="s">
        <v>158</v>
      </c>
      <c r="B197" s="97" t="n">
        <v>2</v>
      </c>
      <c r="C197" s="88" t="s">
        <v>162</v>
      </c>
      <c r="D197" s="88" t="s">
        <v>382</v>
      </c>
      <c r="E197" s="98" t="n">
        <v>1613.65</v>
      </c>
      <c r="F197" s="102" t="n">
        <f aca="false">$E197*Parametros!$C$22</f>
        <v>7745.52</v>
      </c>
      <c r="G197" s="90"/>
      <c r="H197" s="102" t="n">
        <f aca="false">$E197*Parametros!$C$23</f>
        <v>968.19</v>
      </c>
      <c r="I197" s="90" t="n">
        <v>0.66</v>
      </c>
    </row>
    <row r="198" customFormat="false" ht="15" hidden="false" customHeight="false" outlineLevel="0" collapsed="false">
      <c r="A198" s="88" t="s">
        <v>158</v>
      </c>
      <c r="B198" s="97" t="n">
        <v>2</v>
      </c>
      <c r="C198" s="88" t="s">
        <v>162</v>
      </c>
      <c r="D198" s="88" t="s">
        <v>383</v>
      </c>
      <c r="E198" s="98" t="n">
        <v>1613.65</v>
      </c>
      <c r="F198" s="102" t="n">
        <f aca="false">$E198*Parametros!$C$22</f>
        <v>7745.52</v>
      </c>
      <c r="G198" s="90" t="n">
        <v>0.5</v>
      </c>
      <c r="H198" s="102" t="n">
        <f aca="false">$E198*Parametros!$C$23</f>
        <v>968.19</v>
      </c>
      <c r="I198" s="90" t="n">
        <v>0.21</v>
      </c>
    </row>
    <row r="199" customFormat="false" ht="15" hidden="false" customHeight="false" outlineLevel="0" collapsed="false">
      <c r="A199" s="88" t="s">
        <v>158</v>
      </c>
      <c r="B199" s="97" t="n">
        <v>2</v>
      </c>
      <c r="C199" s="88" t="s">
        <v>162</v>
      </c>
      <c r="D199" s="88" t="s">
        <v>384</v>
      </c>
      <c r="E199" s="98" t="n">
        <v>1613.65</v>
      </c>
      <c r="F199" s="102" t="n">
        <f aca="false">$E199*Parametros!$C$22</f>
        <v>7745.52</v>
      </c>
      <c r="G199" s="90" t="n">
        <v>1.8</v>
      </c>
      <c r="H199" s="102" t="n">
        <f aca="false">$E199*Parametros!$C$23</f>
        <v>968.19</v>
      </c>
      <c r="I199" s="90" t="n">
        <v>0.3</v>
      </c>
    </row>
    <row r="200" customFormat="false" ht="15" hidden="false" customHeight="false" outlineLevel="0" collapsed="false">
      <c r="A200" s="88" t="s">
        <v>158</v>
      </c>
      <c r="B200" s="97" t="n">
        <v>2</v>
      </c>
      <c r="C200" s="88" t="s">
        <v>162</v>
      </c>
      <c r="D200" s="88" t="s">
        <v>385</v>
      </c>
      <c r="E200" s="98" t="n">
        <v>1613.65</v>
      </c>
      <c r="F200" s="102" t="n">
        <f aca="false">$E200*Parametros!$C$22</f>
        <v>7745.52</v>
      </c>
      <c r="G200" s="90" t="n">
        <v>0.5</v>
      </c>
      <c r="H200" s="102" t="n">
        <f aca="false">$E200*Parametros!$C$23</f>
        <v>968.19</v>
      </c>
      <c r="I200" s="90" t="n">
        <v>0.1</v>
      </c>
    </row>
    <row r="201" customFormat="false" ht="15" hidden="false" customHeight="false" outlineLevel="0" collapsed="false">
      <c r="A201" s="88" t="s">
        <v>158</v>
      </c>
      <c r="B201" s="97" t="n">
        <v>2</v>
      </c>
      <c r="C201" s="88" t="s">
        <v>162</v>
      </c>
      <c r="D201" s="88" t="s">
        <v>386</v>
      </c>
      <c r="E201" s="98" t="n">
        <v>1613.65</v>
      </c>
      <c r="F201" s="102" t="n">
        <f aca="false">$E201*Parametros!$C$22</f>
        <v>7745.52</v>
      </c>
      <c r="G201" s="90" t="n">
        <v>0.5</v>
      </c>
      <c r="H201" s="102" t="n">
        <f aca="false">$E201*Parametros!$C$23</f>
        <v>968.19</v>
      </c>
      <c r="I201" s="90" t="n">
        <v>0.14</v>
      </c>
    </row>
    <row r="202" customFormat="false" ht="15" hidden="false" customHeight="false" outlineLevel="0" collapsed="false">
      <c r="A202" s="88" t="s">
        <v>158</v>
      </c>
      <c r="B202" s="97" t="n">
        <v>2</v>
      </c>
      <c r="C202" s="88" t="s">
        <v>162</v>
      </c>
      <c r="D202" s="88" t="s">
        <v>387</v>
      </c>
      <c r="E202" s="98" t="n">
        <v>1613.65</v>
      </c>
      <c r="F202" s="102" t="n">
        <f aca="false">$E202*Parametros!$C$22</f>
        <v>7745.52</v>
      </c>
      <c r="G202" s="90" t="n">
        <v>0.54</v>
      </c>
      <c r="H202" s="102" t="n">
        <f aca="false">$E202*Parametros!$C$23</f>
        <v>968.19</v>
      </c>
      <c r="I202" s="90" t="n">
        <v>0.1</v>
      </c>
    </row>
    <row r="203" customFormat="false" ht="15" hidden="false" customHeight="false" outlineLevel="0" collapsed="false">
      <c r="A203" s="88" t="s">
        <v>158</v>
      </c>
      <c r="B203" s="97" t="n">
        <v>2</v>
      </c>
      <c r="C203" s="88" t="s">
        <v>162</v>
      </c>
      <c r="D203" s="88" t="s">
        <v>388</v>
      </c>
      <c r="E203" s="98" t="n">
        <v>1613.65</v>
      </c>
      <c r="F203" s="102" t="n">
        <f aca="false">$E203*Parametros!$C$22</f>
        <v>7745.52</v>
      </c>
      <c r="G203" s="90" t="n">
        <v>0.5</v>
      </c>
      <c r="H203" s="102" t="n">
        <f aca="false">$E203*Parametros!$C$23</f>
        <v>968.19</v>
      </c>
      <c r="I203" s="90" t="n">
        <v>0.12</v>
      </c>
    </row>
    <row r="204" customFormat="false" ht="15" hidden="false" customHeight="false" outlineLevel="0" collapsed="false">
      <c r="A204" s="88" t="s">
        <v>163</v>
      </c>
      <c r="B204" s="97" t="n">
        <v>1</v>
      </c>
      <c r="C204" s="88" t="s">
        <v>389</v>
      </c>
      <c r="D204" s="88" t="s">
        <v>390</v>
      </c>
      <c r="E204" s="98" t="n">
        <v>708.2</v>
      </c>
      <c r="F204" s="102" t="n">
        <f aca="false">$E204*Parametros!$C$22</f>
        <v>3399.36</v>
      </c>
      <c r="G204" s="90"/>
      <c r="H204" s="102" t="n">
        <f aca="false">$E204*Parametros!$C$23</f>
        <v>424.92</v>
      </c>
      <c r="I204" s="90" t="n">
        <v>0.0662</v>
      </c>
    </row>
    <row r="205" customFormat="false" ht="15" hidden="false" customHeight="false" outlineLevel="0" collapsed="false">
      <c r="A205" s="88" t="s">
        <v>163</v>
      </c>
      <c r="B205" s="97" t="n">
        <v>1</v>
      </c>
      <c r="C205" s="88" t="s">
        <v>389</v>
      </c>
      <c r="D205" s="88" t="s">
        <v>391</v>
      </c>
      <c r="E205" s="98" t="n">
        <v>708.2</v>
      </c>
      <c r="F205" s="102" t="n">
        <f aca="false">$E205*Parametros!$C$22</f>
        <v>3399.36</v>
      </c>
      <c r="G205" s="90" t="n">
        <v>2.18</v>
      </c>
      <c r="H205" s="102" t="n">
        <f aca="false">$E205*Parametros!$C$23</f>
        <v>424.92</v>
      </c>
      <c r="I205" s="90" t="n">
        <v>0.0509</v>
      </c>
    </row>
    <row r="206" customFormat="false" ht="15" hidden="false" customHeight="false" outlineLevel="0" collapsed="false">
      <c r="A206" s="88" t="s">
        <v>163</v>
      </c>
      <c r="B206" s="97" t="n">
        <v>1</v>
      </c>
      <c r="C206" s="88" t="s">
        <v>389</v>
      </c>
      <c r="D206" s="88" t="s">
        <v>392</v>
      </c>
      <c r="E206" s="98" t="n">
        <v>708.2</v>
      </c>
      <c r="F206" s="102" t="n">
        <f aca="false">$E206*Parametros!$C$22</f>
        <v>3399.36</v>
      </c>
      <c r="G206" s="90" t="n">
        <v>0.663</v>
      </c>
      <c r="H206" s="102" t="n">
        <f aca="false">$E206*Parametros!$C$23</f>
        <v>424.92</v>
      </c>
      <c r="I206" s="90" t="n">
        <v>0.137</v>
      </c>
    </row>
    <row r="207" customFormat="false" ht="15" hidden="false" customHeight="false" outlineLevel="0" collapsed="false">
      <c r="A207" s="88" t="s">
        <v>163</v>
      </c>
      <c r="B207" s="97" t="n">
        <v>1</v>
      </c>
      <c r="C207" s="88" t="s">
        <v>389</v>
      </c>
      <c r="D207" s="88" t="s">
        <v>393</v>
      </c>
      <c r="E207" s="98" t="n">
        <v>708.2</v>
      </c>
      <c r="F207" s="102" t="n">
        <f aca="false">$E207*Parametros!$C$22</f>
        <v>3399.36</v>
      </c>
      <c r="G207" s="90"/>
      <c r="H207" s="102" t="n">
        <f aca="false">$E207*Parametros!$C$23</f>
        <v>424.92</v>
      </c>
      <c r="I207" s="90" t="n">
        <v>0.0662</v>
      </c>
    </row>
    <row r="208" customFormat="false" ht="15" hidden="false" customHeight="false" outlineLevel="0" collapsed="false">
      <c r="A208" s="88" t="s">
        <v>163</v>
      </c>
      <c r="B208" s="97" t="n">
        <v>1</v>
      </c>
      <c r="C208" s="88" t="s">
        <v>389</v>
      </c>
      <c r="D208" s="88" t="s">
        <v>394</v>
      </c>
      <c r="E208" s="98" t="n">
        <v>708.2</v>
      </c>
      <c r="F208" s="102" t="n">
        <f aca="false">$E208*Parametros!$C$22</f>
        <v>3399.36</v>
      </c>
      <c r="G208" s="90"/>
      <c r="H208" s="102" t="n">
        <f aca="false">$E208*Parametros!$C$23</f>
        <v>424.92</v>
      </c>
      <c r="I208" s="90" t="n">
        <v>0.153</v>
      </c>
    </row>
    <row r="209" customFormat="false" ht="15" hidden="false" customHeight="false" outlineLevel="0" collapsed="false">
      <c r="A209" s="88" t="s">
        <v>163</v>
      </c>
      <c r="B209" s="97" t="n">
        <v>1</v>
      </c>
      <c r="C209" s="88" t="s">
        <v>389</v>
      </c>
      <c r="D209" s="88" t="s">
        <v>395</v>
      </c>
      <c r="E209" s="98" t="n">
        <v>708.2</v>
      </c>
      <c r="F209" s="102" t="n">
        <f aca="false">$E209*Parametros!$C$22</f>
        <v>3399.36</v>
      </c>
      <c r="G209" s="90" t="n">
        <v>0.5</v>
      </c>
      <c r="H209" s="102" t="n">
        <f aca="false">$E209*Parametros!$C$23</f>
        <v>424.92</v>
      </c>
      <c r="I209" s="90" t="n">
        <v>0.0959</v>
      </c>
    </row>
    <row r="210" customFormat="false" ht="15" hidden="false" customHeight="false" outlineLevel="0" collapsed="false">
      <c r="A210" s="88" t="s">
        <v>163</v>
      </c>
      <c r="B210" s="97" t="n">
        <v>1</v>
      </c>
      <c r="C210" s="88" t="s">
        <v>389</v>
      </c>
      <c r="D210" s="88" t="s">
        <v>396</v>
      </c>
      <c r="E210" s="98" t="n">
        <v>708.2</v>
      </c>
      <c r="F210" s="102" t="n">
        <f aca="false">$E210*Parametros!$C$22</f>
        <v>3399.36</v>
      </c>
      <c r="G210" s="90" t="n">
        <v>3.4</v>
      </c>
      <c r="H210" s="102" t="n">
        <f aca="false">$E210*Parametros!$C$23</f>
        <v>424.92</v>
      </c>
      <c r="I210" s="90" t="n">
        <v>0.0946</v>
      </c>
    </row>
    <row r="211" customFormat="false" ht="15" hidden="false" customHeight="false" outlineLevel="0" collapsed="false">
      <c r="A211" s="88" t="s">
        <v>163</v>
      </c>
      <c r="B211" s="97" t="n">
        <v>1</v>
      </c>
      <c r="C211" s="88" t="s">
        <v>389</v>
      </c>
      <c r="D211" s="88" t="s">
        <v>397</v>
      </c>
      <c r="E211" s="98" t="n">
        <v>708.2</v>
      </c>
      <c r="F211" s="102" t="n">
        <f aca="false">$E211*Parametros!$C$22</f>
        <v>3399.36</v>
      </c>
      <c r="G211" s="90" t="n">
        <v>0.69</v>
      </c>
      <c r="H211" s="102" t="n">
        <f aca="false">$E211*Parametros!$C$23</f>
        <v>424.92</v>
      </c>
      <c r="I211" s="90" t="n">
        <v>0.0946</v>
      </c>
    </row>
    <row r="212" customFormat="false" ht="15" hidden="false" customHeight="false" outlineLevel="0" collapsed="false">
      <c r="A212" s="88" t="s">
        <v>163</v>
      </c>
      <c r="B212" s="97" t="n">
        <v>1</v>
      </c>
      <c r="C212" s="88" t="s">
        <v>389</v>
      </c>
      <c r="D212" s="88" t="s">
        <v>398</v>
      </c>
      <c r="E212" s="98" t="n">
        <v>708.2</v>
      </c>
      <c r="F212" s="102" t="n">
        <f aca="false">$E212*Parametros!$C$22</f>
        <v>3399.36</v>
      </c>
      <c r="G212" s="90"/>
      <c r="H212" s="102" t="n">
        <f aca="false">$E212*Parametros!$C$23</f>
        <v>424.92</v>
      </c>
      <c r="I212" s="90" t="n">
        <v>0.0946</v>
      </c>
    </row>
    <row r="213" customFormat="false" ht="15" hidden="false" customHeight="false" outlineLevel="0" collapsed="false">
      <c r="A213" s="88" t="s">
        <v>163</v>
      </c>
      <c r="B213" s="97" t="n">
        <v>1</v>
      </c>
      <c r="C213" s="88" t="s">
        <v>389</v>
      </c>
      <c r="D213" s="88" t="s">
        <v>399</v>
      </c>
      <c r="E213" s="98" t="n">
        <v>708.2</v>
      </c>
      <c r="F213" s="102" t="n">
        <f aca="false">$E213*Parametros!$C$22</f>
        <v>3399.36</v>
      </c>
      <c r="G213" s="90"/>
      <c r="H213" s="102" t="n">
        <f aca="false">$E213*Parametros!$C$23</f>
        <v>424.92</v>
      </c>
      <c r="I213" s="90" t="n">
        <v>0.0935</v>
      </c>
    </row>
    <row r="214" customFormat="false" ht="15" hidden="false" customHeight="false" outlineLevel="0" collapsed="false">
      <c r="A214" s="88" t="s">
        <v>163</v>
      </c>
      <c r="B214" s="97" t="n">
        <v>1</v>
      </c>
      <c r="C214" s="88" t="s">
        <v>389</v>
      </c>
      <c r="D214" s="88" t="s">
        <v>400</v>
      </c>
      <c r="E214" s="98" t="n">
        <v>708.2</v>
      </c>
      <c r="F214" s="102" t="n">
        <f aca="false">$E214*Parametros!$C$22</f>
        <v>3399.36</v>
      </c>
      <c r="G214" s="90"/>
      <c r="H214" s="102" t="n">
        <f aca="false">$E214*Parametros!$C$23</f>
        <v>424.92</v>
      </c>
      <c r="I214" s="90" t="n">
        <v>0.0959</v>
      </c>
    </row>
    <row r="215" customFormat="false" ht="15" hidden="false" customHeight="false" outlineLevel="0" collapsed="false">
      <c r="A215" s="88" t="s">
        <v>163</v>
      </c>
      <c r="B215" s="97" t="n">
        <v>1</v>
      </c>
      <c r="C215" s="88" t="s">
        <v>389</v>
      </c>
      <c r="D215" s="88" t="s">
        <v>401</v>
      </c>
      <c r="E215" s="98" t="n">
        <v>708.2</v>
      </c>
      <c r="F215" s="102" t="n">
        <f aca="false">$E215*Parametros!$C$22</f>
        <v>3399.36</v>
      </c>
      <c r="G215" s="90" t="n">
        <v>1.24</v>
      </c>
      <c r="H215" s="102" t="n">
        <f aca="false">$E215*Parametros!$C$23</f>
        <v>424.92</v>
      </c>
      <c r="I215" s="90" t="n">
        <v>1.13</v>
      </c>
    </row>
    <row r="216" customFormat="false" ht="15" hidden="false" customHeight="false" outlineLevel="0" collapsed="false">
      <c r="A216" s="88" t="s">
        <v>163</v>
      </c>
      <c r="B216" s="97" t="n">
        <v>1</v>
      </c>
      <c r="C216" s="88" t="s">
        <v>389</v>
      </c>
      <c r="D216" s="88" t="s">
        <v>402</v>
      </c>
      <c r="E216" s="98" t="n">
        <v>708.2</v>
      </c>
      <c r="F216" s="102" t="n">
        <f aca="false">$E216*Parametros!$C$22</f>
        <v>3399.36</v>
      </c>
      <c r="G216" s="90"/>
      <c r="H216" s="102" t="n">
        <f aca="false">$E216*Parametros!$C$23</f>
        <v>424.92</v>
      </c>
      <c r="I216" s="90" t="n">
        <v>0.0935</v>
      </c>
    </row>
    <row r="217" customFormat="false" ht="15" hidden="false" customHeight="false" outlineLevel="0" collapsed="false">
      <c r="A217" s="88" t="s">
        <v>163</v>
      </c>
      <c r="B217" s="97" t="n">
        <v>1</v>
      </c>
      <c r="C217" s="88" t="s">
        <v>389</v>
      </c>
      <c r="D217" s="88" t="s">
        <v>403</v>
      </c>
      <c r="E217" s="98" t="n">
        <v>708.2</v>
      </c>
      <c r="F217" s="102" t="n">
        <f aca="false">$E217*Parametros!$C$22</f>
        <v>3399.36</v>
      </c>
      <c r="G217" s="90"/>
      <c r="H217" s="102" t="n">
        <f aca="false">$E217*Parametros!$C$23</f>
        <v>424.92</v>
      </c>
      <c r="I217" s="90" t="n">
        <v>0.12</v>
      </c>
    </row>
    <row r="218" customFormat="false" ht="15" hidden="false" customHeight="false" outlineLevel="0" collapsed="false">
      <c r="A218" s="88" t="s">
        <v>163</v>
      </c>
      <c r="B218" s="97" t="n">
        <v>1</v>
      </c>
      <c r="C218" s="88" t="s">
        <v>389</v>
      </c>
      <c r="D218" s="88" t="s">
        <v>404</v>
      </c>
      <c r="E218" s="98" t="n">
        <v>708.2</v>
      </c>
      <c r="F218" s="102" t="n">
        <f aca="false">$E218*Parametros!$C$22</f>
        <v>3399.36</v>
      </c>
      <c r="G218" s="90"/>
      <c r="H218" s="102" t="n">
        <f aca="false">$E218*Parametros!$C$23</f>
        <v>424.92</v>
      </c>
      <c r="I218" s="90" t="n">
        <v>0.0959</v>
      </c>
    </row>
    <row r="219" customFormat="false" ht="15" hidden="false" customHeight="false" outlineLevel="0" collapsed="false">
      <c r="A219" s="88" t="s">
        <v>163</v>
      </c>
      <c r="B219" s="97" t="n">
        <v>1</v>
      </c>
      <c r="C219" s="88" t="s">
        <v>389</v>
      </c>
      <c r="D219" s="88" t="s">
        <v>405</v>
      </c>
      <c r="E219" s="98" t="n">
        <v>708.2</v>
      </c>
      <c r="F219" s="102" t="n">
        <f aca="false">$E219*Parametros!$C$22</f>
        <v>3399.36</v>
      </c>
      <c r="G219" s="90"/>
      <c r="H219" s="102" t="n">
        <f aca="false">$E219*Parametros!$C$23</f>
        <v>424.92</v>
      </c>
      <c r="I219" s="90" t="n">
        <v>0.068</v>
      </c>
    </row>
    <row r="220" customFormat="false" ht="15" hidden="false" customHeight="false" outlineLevel="0" collapsed="false">
      <c r="A220" s="88" t="s">
        <v>163</v>
      </c>
      <c r="B220" s="97" t="n">
        <v>1</v>
      </c>
      <c r="C220" s="88" t="s">
        <v>389</v>
      </c>
      <c r="D220" s="88" t="s">
        <v>406</v>
      </c>
      <c r="E220" s="98" t="n">
        <v>708.2</v>
      </c>
      <c r="F220" s="102" t="n">
        <f aca="false">$E220*Parametros!$C$22</f>
        <v>3399.36</v>
      </c>
      <c r="G220" s="90" t="n">
        <v>0.366</v>
      </c>
      <c r="H220" s="102" t="n">
        <f aca="false">$E220*Parametros!$C$23</f>
        <v>424.92</v>
      </c>
      <c r="I220" s="90" t="n">
        <v>0.0662</v>
      </c>
    </row>
    <row r="221" customFormat="false" ht="15" hidden="false" customHeight="false" outlineLevel="0" collapsed="false">
      <c r="A221" s="88" t="s">
        <v>163</v>
      </c>
      <c r="B221" s="97" t="n">
        <v>1</v>
      </c>
      <c r="C221" s="88" t="s">
        <v>389</v>
      </c>
      <c r="D221" s="88" t="s">
        <v>407</v>
      </c>
      <c r="E221" s="98" t="n">
        <v>708.2</v>
      </c>
      <c r="F221" s="102" t="n">
        <f aca="false">$E221*Parametros!$C$22</f>
        <v>3399.36</v>
      </c>
      <c r="G221" s="90"/>
      <c r="H221" s="102" t="n">
        <f aca="false">$E221*Parametros!$C$23</f>
        <v>424.92</v>
      </c>
      <c r="I221" s="90" t="n">
        <v>0.0662</v>
      </c>
    </row>
    <row r="222" customFormat="false" ht="15" hidden="false" customHeight="false" outlineLevel="0" collapsed="false">
      <c r="A222" s="88" t="s">
        <v>163</v>
      </c>
      <c r="B222" s="97" t="n">
        <v>1</v>
      </c>
      <c r="C222" s="88" t="s">
        <v>389</v>
      </c>
      <c r="D222" s="88" t="s">
        <v>408</v>
      </c>
      <c r="E222" s="98" t="n">
        <v>708.2</v>
      </c>
      <c r="F222" s="102" t="n">
        <f aca="false">$E222*Parametros!$C$22</f>
        <v>3399.36</v>
      </c>
      <c r="G222" s="90" t="n">
        <v>0.517</v>
      </c>
      <c r="H222" s="102" t="n">
        <f aca="false">$E222*Parametros!$C$23</f>
        <v>424.92</v>
      </c>
      <c r="I222" s="90" t="n">
        <v>0.0946</v>
      </c>
    </row>
    <row r="223" customFormat="false" ht="15" hidden="false" customHeight="false" outlineLevel="0" collapsed="false">
      <c r="A223" s="88" t="s">
        <v>163</v>
      </c>
      <c r="B223" s="97" t="n">
        <v>2</v>
      </c>
      <c r="C223" s="88" t="s">
        <v>409</v>
      </c>
      <c r="D223" s="88" t="s">
        <v>390</v>
      </c>
      <c r="E223" s="98" t="n">
        <v>791.69</v>
      </c>
      <c r="F223" s="102" t="n">
        <f aca="false">$E223*Parametros!$C$22</f>
        <v>3800.112</v>
      </c>
      <c r="G223" s="90"/>
      <c r="H223" s="102" t="n">
        <f aca="false">$E223*Parametros!$C$23</f>
        <v>475.014</v>
      </c>
      <c r="I223" s="90" t="n">
        <v>0.106</v>
      </c>
    </row>
    <row r="224" customFormat="false" ht="15" hidden="false" customHeight="false" outlineLevel="0" collapsed="false">
      <c r="A224" s="88" t="s">
        <v>163</v>
      </c>
      <c r="B224" s="97" t="n">
        <v>2</v>
      </c>
      <c r="C224" s="88" t="s">
        <v>409</v>
      </c>
      <c r="D224" s="88" t="s">
        <v>391</v>
      </c>
      <c r="E224" s="98" t="n">
        <v>791.69</v>
      </c>
      <c r="F224" s="102" t="n">
        <f aca="false">$E224*Parametros!$C$22</f>
        <v>3800.112</v>
      </c>
      <c r="G224" s="90" t="n">
        <v>2.47</v>
      </c>
      <c r="H224" s="102" t="n">
        <f aca="false">$E224*Parametros!$C$23</f>
        <v>475.014</v>
      </c>
      <c r="I224" s="90" t="n">
        <v>0.0509</v>
      </c>
    </row>
    <row r="225" customFormat="false" ht="15" hidden="false" customHeight="false" outlineLevel="0" collapsed="false">
      <c r="A225" s="88" t="s">
        <v>163</v>
      </c>
      <c r="B225" s="97" t="n">
        <v>2</v>
      </c>
      <c r="C225" s="88" t="s">
        <v>409</v>
      </c>
      <c r="D225" s="88" t="s">
        <v>392</v>
      </c>
      <c r="E225" s="98" t="n">
        <v>791.69</v>
      </c>
      <c r="F225" s="102" t="n">
        <f aca="false">$E225*Parametros!$C$22</f>
        <v>3800.112</v>
      </c>
      <c r="G225" s="90" t="n">
        <v>0.805</v>
      </c>
      <c r="H225" s="102" t="n">
        <f aca="false">$E225*Parametros!$C$23</f>
        <v>475.014</v>
      </c>
      <c r="I225" s="90" t="n">
        <v>0.122</v>
      </c>
    </row>
    <row r="226" customFormat="false" ht="15" hidden="false" customHeight="false" outlineLevel="0" collapsed="false">
      <c r="A226" s="88" t="s">
        <v>163</v>
      </c>
      <c r="B226" s="97" t="n">
        <v>2</v>
      </c>
      <c r="C226" s="88" t="s">
        <v>409</v>
      </c>
      <c r="D226" s="88" t="s">
        <v>393</v>
      </c>
      <c r="E226" s="98" t="n">
        <v>791.69</v>
      </c>
      <c r="F226" s="102" t="n">
        <f aca="false">$E226*Parametros!$C$22</f>
        <v>3800.112</v>
      </c>
      <c r="G226" s="90"/>
      <c r="H226" s="102" t="n">
        <f aca="false">$E226*Parametros!$C$23</f>
        <v>475.014</v>
      </c>
      <c r="I226" s="90" t="n">
        <v>0.0662</v>
      </c>
    </row>
    <row r="227" customFormat="false" ht="15" hidden="false" customHeight="false" outlineLevel="0" collapsed="false">
      <c r="A227" s="88" t="s">
        <v>163</v>
      </c>
      <c r="B227" s="97" t="n">
        <v>2</v>
      </c>
      <c r="C227" s="88" t="s">
        <v>409</v>
      </c>
      <c r="D227" s="88" t="s">
        <v>394</v>
      </c>
      <c r="E227" s="98" t="n">
        <v>791.69</v>
      </c>
      <c r="F227" s="102" t="n">
        <f aca="false">$E227*Parametros!$C$22</f>
        <v>3800.112</v>
      </c>
      <c r="G227" s="90"/>
      <c r="H227" s="102" t="n">
        <f aca="false">$E227*Parametros!$C$23</f>
        <v>475.014</v>
      </c>
      <c r="I227" s="90" t="n">
        <v>0.12</v>
      </c>
    </row>
    <row r="228" customFormat="false" ht="15" hidden="false" customHeight="false" outlineLevel="0" collapsed="false">
      <c r="A228" s="88" t="s">
        <v>163</v>
      </c>
      <c r="B228" s="97" t="n">
        <v>2</v>
      </c>
      <c r="C228" s="88" t="s">
        <v>409</v>
      </c>
      <c r="D228" s="88" t="s">
        <v>395</v>
      </c>
      <c r="E228" s="98" t="n">
        <v>791.69</v>
      </c>
      <c r="F228" s="102" t="n">
        <f aca="false">$E228*Parametros!$C$22</f>
        <v>3800.112</v>
      </c>
      <c r="G228" s="90" t="n">
        <v>1.22</v>
      </c>
      <c r="H228" s="102" t="n">
        <f aca="false">$E228*Parametros!$C$23</f>
        <v>475.014</v>
      </c>
      <c r="I228" s="90" t="n">
        <v>0.097</v>
      </c>
    </row>
    <row r="229" customFormat="false" ht="15" hidden="false" customHeight="false" outlineLevel="0" collapsed="false">
      <c r="A229" s="88" t="s">
        <v>163</v>
      </c>
      <c r="B229" s="97" t="n">
        <v>2</v>
      </c>
      <c r="C229" s="88" t="s">
        <v>409</v>
      </c>
      <c r="D229" s="88" t="s">
        <v>396</v>
      </c>
      <c r="E229" s="98" t="n">
        <v>791.69</v>
      </c>
      <c r="F229" s="102" t="n">
        <f aca="false">$E229*Parametros!$C$22</f>
        <v>3800.112</v>
      </c>
      <c r="G229" s="90" t="n">
        <v>3.78</v>
      </c>
      <c r="H229" s="102" t="n">
        <f aca="false">$E229*Parametros!$C$23</f>
        <v>475.014</v>
      </c>
      <c r="I229" s="90" t="n">
        <v>0.433</v>
      </c>
    </row>
    <row r="230" customFormat="false" ht="15" hidden="false" customHeight="false" outlineLevel="0" collapsed="false">
      <c r="A230" s="88" t="s">
        <v>163</v>
      </c>
      <c r="B230" s="97" t="n">
        <v>2</v>
      </c>
      <c r="C230" s="88" t="s">
        <v>409</v>
      </c>
      <c r="D230" s="88" t="s">
        <v>397</v>
      </c>
      <c r="E230" s="98" t="n">
        <v>791.69</v>
      </c>
      <c r="F230" s="102" t="n">
        <f aca="false">$E230*Parametros!$C$22</f>
        <v>3800.112</v>
      </c>
      <c r="G230" s="90" t="n">
        <v>0.882</v>
      </c>
      <c r="H230" s="102" t="n">
        <f aca="false">$E230*Parametros!$C$23</f>
        <v>475.014</v>
      </c>
      <c r="I230" s="90" t="n">
        <v>0.0946</v>
      </c>
    </row>
    <row r="231" customFormat="false" ht="15" hidden="false" customHeight="false" outlineLevel="0" collapsed="false">
      <c r="A231" s="88" t="s">
        <v>163</v>
      </c>
      <c r="B231" s="97" t="n">
        <v>2</v>
      </c>
      <c r="C231" s="88" t="s">
        <v>409</v>
      </c>
      <c r="D231" s="88" t="s">
        <v>398</v>
      </c>
      <c r="E231" s="98" t="n">
        <v>791.69</v>
      </c>
      <c r="F231" s="102" t="n">
        <f aca="false">$E231*Parametros!$C$22</f>
        <v>3800.112</v>
      </c>
      <c r="G231" s="90"/>
      <c r="H231" s="102" t="n">
        <f aca="false">$E231*Parametros!$C$23</f>
        <v>475.014</v>
      </c>
      <c r="I231" s="90" t="n">
        <v>0.323</v>
      </c>
    </row>
    <row r="232" customFormat="false" ht="15" hidden="false" customHeight="false" outlineLevel="0" collapsed="false">
      <c r="A232" s="88" t="s">
        <v>163</v>
      </c>
      <c r="B232" s="97" t="n">
        <v>2</v>
      </c>
      <c r="C232" s="88" t="s">
        <v>409</v>
      </c>
      <c r="D232" s="88" t="s">
        <v>399</v>
      </c>
      <c r="E232" s="98" t="n">
        <v>791.69</v>
      </c>
      <c r="F232" s="102" t="n">
        <f aca="false">$E232*Parametros!$C$22</f>
        <v>3800.112</v>
      </c>
      <c r="G232" s="90"/>
      <c r="H232" s="102" t="n">
        <f aca="false">$E232*Parametros!$C$23</f>
        <v>475.014</v>
      </c>
      <c r="I232" s="90" t="n">
        <v>0.283</v>
      </c>
    </row>
    <row r="233" customFormat="false" ht="15" hidden="false" customHeight="false" outlineLevel="0" collapsed="false">
      <c r="A233" s="88" t="s">
        <v>163</v>
      </c>
      <c r="B233" s="97" t="n">
        <v>2</v>
      </c>
      <c r="C233" s="88" t="s">
        <v>409</v>
      </c>
      <c r="D233" s="88" t="s">
        <v>400</v>
      </c>
      <c r="E233" s="98" t="n">
        <v>791.69</v>
      </c>
      <c r="F233" s="102" t="n">
        <f aca="false">$E233*Parametros!$C$22</f>
        <v>3800.112</v>
      </c>
      <c r="G233" s="90"/>
      <c r="H233" s="102" t="n">
        <f aca="false">$E233*Parametros!$C$23</f>
        <v>475.014</v>
      </c>
      <c r="I233" s="90" t="n">
        <v>0.0959</v>
      </c>
    </row>
    <row r="234" customFormat="false" ht="15" hidden="false" customHeight="false" outlineLevel="0" collapsed="false">
      <c r="A234" s="88" t="s">
        <v>163</v>
      </c>
      <c r="B234" s="97" t="n">
        <v>2</v>
      </c>
      <c r="C234" s="88" t="s">
        <v>409</v>
      </c>
      <c r="D234" s="88" t="s">
        <v>401</v>
      </c>
      <c r="E234" s="98" t="n">
        <v>791.69</v>
      </c>
      <c r="F234" s="102" t="n">
        <f aca="false">$E234*Parametros!$C$22</f>
        <v>3800.112</v>
      </c>
      <c r="G234" s="90" t="n">
        <v>1.77</v>
      </c>
      <c r="H234" s="102" t="n">
        <f aca="false">$E234*Parametros!$C$23</f>
        <v>475.014</v>
      </c>
      <c r="I234" s="90" t="n">
        <v>1.18</v>
      </c>
    </row>
    <row r="235" customFormat="false" ht="15" hidden="false" customHeight="false" outlineLevel="0" collapsed="false">
      <c r="A235" s="88" t="s">
        <v>163</v>
      </c>
      <c r="B235" s="97" t="n">
        <v>2</v>
      </c>
      <c r="C235" s="88" t="s">
        <v>409</v>
      </c>
      <c r="D235" s="88" t="s">
        <v>402</v>
      </c>
      <c r="E235" s="98" t="n">
        <v>791.69</v>
      </c>
      <c r="F235" s="102" t="n">
        <f aca="false">$E235*Parametros!$C$22</f>
        <v>3800.112</v>
      </c>
      <c r="G235" s="90"/>
      <c r="H235" s="102" t="n">
        <f aca="false">$E235*Parametros!$C$23</f>
        <v>475.014</v>
      </c>
      <c r="I235" s="90" t="n">
        <v>0.116</v>
      </c>
    </row>
    <row r="236" customFormat="false" ht="15" hidden="false" customHeight="false" outlineLevel="0" collapsed="false">
      <c r="A236" s="88" t="s">
        <v>163</v>
      </c>
      <c r="B236" s="97" t="n">
        <v>2</v>
      </c>
      <c r="C236" s="88" t="s">
        <v>409</v>
      </c>
      <c r="D236" s="88" t="s">
        <v>403</v>
      </c>
      <c r="E236" s="98" t="n">
        <v>791.69</v>
      </c>
      <c r="F236" s="102" t="n">
        <f aca="false">$E236*Parametros!$C$22</f>
        <v>3800.112</v>
      </c>
      <c r="G236" s="90"/>
      <c r="H236" s="102" t="n">
        <f aca="false">$E236*Parametros!$C$23</f>
        <v>475.014</v>
      </c>
      <c r="I236" s="90" t="n">
        <v>0.08</v>
      </c>
    </row>
    <row r="237" customFormat="false" ht="15" hidden="false" customHeight="false" outlineLevel="0" collapsed="false">
      <c r="A237" s="88" t="s">
        <v>163</v>
      </c>
      <c r="B237" s="97" t="n">
        <v>2</v>
      </c>
      <c r="C237" s="88" t="s">
        <v>409</v>
      </c>
      <c r="D237" s="88" t="s">
        <v>404</v>
      </c>
      <c r="E237" s="98" t="n">
        <v>791.69</v>
      </c>
      <c r="F237" s="102" t="n">
        <f aca="false">$E237*Parametros!$C$22</f>
        <v>3800.112</v>
      </c>
      <c r="G237" s="90"/>
      <c r="H237" s="102" t="n">
        <f aca="false">$E237*Parametros!$C$23</f>
        <v>475.014</v>
      </c>
      <c r="I237" s="90" t="n">
        <v>0.0959</v>
      </c>
    </row>
    <row r="238" customFormat="false" ht="15" hidden="false" customHeight="false" outlineLevel="0" collapsed="false">
      <c r="A238" s="88" t="s">
        <v>163</v>
      </c>
      <c r="B238" s="97" t="n">
        <v>2</v>
      </c>
      <c r="C238" s="88" t="s">
        <v>409</v>
      </c>
      <c r="D238" s="88" t="s">
        <v>405</v>
      </c>
      <c r="E238" s="98" t="n">
        <v>791.69</v>
      </c>
      <c r="F238" s="102" t="n">
        <f aca="false">$E238*Parametros!$C$22</f>
        <v>3800.112</v>
      </c>
      <c r="G238" s="90"/>
      <c r="H238" s="102" t="n">
        <f aca="false">$E238*Parametros!$C$23</f>
        <v>475.014</v>
      </c>
      <c r="I238" s="90" t="n">
        <v>0.085</v>
      </c>
    </row>
    <row r="239" customFormat="false" ht="15" hidden="false" customHeight="false" outlineLevel="0" collapsed="false">
      <c r="A239" s="88" t="s">
        <v>163</v>
      </c>
      <c r="B239" s="97" t="n">
        <v>2</v>
      </c>
      <c r="C239" s="88" t="s">
        <v>409</v>
      </c>
      <c r="D239" s="88" t="s">
        <v>406</v>
      </c>
      <c r="E239" s="98" t="n">
        <v>791.69</v>
      </c>
      <c r="F239" s="102" t="n">
        <f aca="false">$E239*Parametros!$C$22</f>
        <v>3800.112</v>
      </c>
      <c r="G239" s="90"/>
      <c r="H239" s="102" t="n">
        <f aca="false">$E239*Parametros!$C$23</f>
        <v>475.014</v>
      </c>
      <c r="I239" s="90" t="n">
        <v>1.7</v>
      </c>
    </row>
    <row r="240" customFormat="false" ht="15" hidden="false" customHeight="false" outlineLevel="0" collapsed="false">
      <c r="A240" s="88" t="s">
        <v>163</v>
      </c>
      <c r="B240" s="97" t="n">
        <v>2</v>
      </c>
      <c r="C240" s="88" t="s">
        <v>409</v>
      </c>
      <c r="D240" s="88" t="s">
        <v>407</v>
      </c>
      <c r="E240" s="98" t="n">
        <v>791.69</v>
      </c>
      <c r="F240" s="102" t="n">
        <f aca="false">$E240*Parametros!$C$22</f>
        <v>3800.112</v>
      </c>
      <c r="G240" s="90"/>
      <c r="H240" s="102" t="n">
        <f aca="false">$E240*Parametros!$C$23</f>
        <v>475.014</v>
      </c>
      <c r="I240" s="90" t="n">
        <v>0.075</v>
      </c>
    </row>
    <row r="241" customFormat="false" ht="15" hidden="false" customHeight="false" outlineLevel="0" collapsed="false">
      <c r="A241" s="88" t="s">
        <v>163</v>
      </c>
      <c r="B241" s="97" t="n">
        <v>2</v>
      </c>
      <c r="C241" s="88" t="s">
        <v>409</v>
      </c>
      <c r="D241" s="88" t="s">
        <v>408</v>
      </c>
      <c r="E241" s="98" t="n">
        <v>791.69</v>
      </c>
      <c r="F241" s="102" t="n">
        <f aca="false">$E241*Parametros!$C$22</f>
        <v>3800.112</v>
      </c>
      <c r="G241" s="90" t="n">
        <v>0.884</v>
      </c>
      <c r="H241" s="102" t="n">
        <f aca="false">$E241*Parametros!$C$23</f>
        <v>475.014</v>
      </c>
      <c r="I241" s="90" t="n">
        <v>0.096</v>
      </c>
    </row>
    <row r="242" customFormat="false" ht="15" hidden="false" customHeight="false" outlineLevel="0" collapsed="false">
      <c r="A242" s="88" t="s">
        <v>163</v>
      </c>
      <c r="B242" s="97" t="n">
        <v>3</v>
      </c>
      <c r="C242" s="88" t="s">
        <v>166</v>
      </c>
      <c r="D242" s="88" t="s">
        <v>390</v>
      </c>
      <c r="E242" s="98" t="n">
        <v>3475.86</v>
      </c>
      <c r="F242" s="102" t="n">
        <f aca="false">$E242*Parametros!$C$22</f>
        <v>16684.128</v>
      </c>
      <c r="G242" s="90"/>
      <c r="H242" s="102" t="n">
        <f aca="false">$E242*Parametros!$C$23</f>
        <v>2085.516</v>
      </c>
      <c r="I242" s="90" t="n">
        <v>0.0662</v>
      </c>
    </row>
    <row r="243" customFormat="false" ht="15" hidden="false" customHeight="false" outlineLevel="0" collapsed="false">
      <c r="A243" s="88" t="s">
        <v>163</v>
      </c>
      <c r="B243" s="97" t="n">
        <v>3</v>
      </c>
      <c r="C243" s="88" t="s">
        <v>166</v>
      </c>
      <c r="D243" s="88" t="s">
        <v>391</v>
      </c>
      <c r="E243" s="98" t="n">
        <v>3475.86</v>
      </c>
      <c r="F243" s="102" t="n">
        <f aca="false">$E243*Parametros!$C$22</f>
        <v>16684.128</v>
      </c>
      <c r="G243" s="90" t="n">
        <v>2.63</v>
      </c>
      <c r="H243" s="102" t="n">
        <f aca="false">$E243*Parametros!$C$23</f>
        <v>2085.516</v>
      </c>
      <c r="I243" s="90" t="n">
        <v>0.0509</v>
      </c>
    </row>
    <row r="244" customFormat="false" ht="15" hidden="false" customHeight="false" outlineLevel="0" collapsed="false">
      <c r="A244" s="88" t="s">
        <v>163</v>
      </c>
      <c r="B244" s="97" t="n">
        <v>3</v>
      </c>
      <c r="C244" s="88" t="s">
        <v>166</v>
      </c>
      <c r="D244" s="88" t="s">
        <v>392</v>
      </c>
      <c r="E244" s="98" t="n">
        <v>3475.86</v>
      </c>
      <c r="F244" s="102" t="n">
        <f aca="false">$E244*Parametros!$C$22</f>
        <v>16684.128</v>
      </c>
      <c r="G244" s="90" t="n">
        <v>0.974</v>
      </c>
      <c r="H244" s="102" t="n">
        <f aca="false">$E244*Parametros!$C$23</f>
        <v>2085.516</v>
      </c>
      <c r="I244" s="90" t="n">
        <v>0.311</v>
      </c>
    </row>
    <row r="245" customFormat="false" ht="15" hidden="false" customHeight="false" outlineLevel="0" collapsed="false">
      <c r="A245" s="88" t="s">
        <v>163</v>
      </c>
      <c r="B245" s="97" t="n">
        <v>3</v>
      </c>
      <c r="C245" s="88" t="s">
        <v>166</v>
      </c>
      <c r="D245" s="88" t="s">
        <v>393</v>
      </c>
      <c r="E245" s="98" t="n">
        <v>3475.86</v>
      </c>
      <c r="F245" s="102" t="n">
        <f aca="false">$E245*Parametros!$C$22</f>
        <v>16684.128</v>
      </c>
      <c r="G245" s="90"/>
      <c r="H245" s="102" t="n">
        <f aca="false">$E245*Parametros!$C$23</f>
        <v>2085.516</v>
      </c>
      <c r="I245" s="90" t="n">
        <v>0.209</v>
      </c>
    </row>
    <row r="246" customFormat="false" ht="15" hidden="false" customHeight="false" outlineLevel="0" collapsed="false">
      <c r="A246" s="88" t="s">
        <v>163</v>
      </c>
      <c r="B246" s="97" t="n">
        <v>3</v>
      </c>
      <c r="C246" s="88" t="s">
        <v>166</v>
      </c>
      <c r="D246" s="88" t="s">
        <v>394</v>
      </c>
      <c r="E246" s="98" t="n">
        <v>3475.86</v>
      </c>
      <c r="F246" s="102" t="n">
        <f aca="false">$E246*Parametros!$C$22</f>
        <v>16684.128</v>
      </c>
      <c r="G246" s="90"/>
      <c r="H246" s="102" t="n">
        <f aca="false">$E246*Parametros!$C$23</f>
        <v>2085.516</v>
      </c>
      <c r="I246" s="90" t="n">
        <v>0.307</v>
      </c>
    </row>
    <row r="247" customFormat="false" ht="15" hidden="false" customHeight="false" outlineLevel="0" collapsed="false">
      <c r="A247" s="88" t="s">
        <v>163</v>
      </c>
      <c r="B247" s="97" t="n">
        <v>3</v>
      </c>
      <c r="C247" s="88" t="s">
        <v>166</v>
      </c>
      <c r="D247" s="88" t="s">
        <v>395</v>
      </c>
      <c r="E247" s="98" t="n">
        <v>3475.86</v>
      </c>
      <c r="F247" s="102" t="n">
        <f aca="false">$E247*Parametros!$C$22</f>
        <v>16684.128</v>
      </c>
      <c r="G247" s="90" t="n">
        <v>0.866</v>
      </c>
      <c r="H247" s="102" t="n">
        <f aca="false">$E247*Parametros!$C$23</f>
        <v>2085.516</v>
      </c>
      <c r="I247" s="90" t="n">
        <v>0.102</v>
      </c>
    </row>
    <row r="248" customFormat="false" ht="15" hidden="false" customHeight="false" outlineLevel="0" collapsed="false">
      <c r="A248" s="88" t="s">
        <v>163</v>
      </c>
      <c r="B248" s="97" t="n">
        <v>3</v>
      </c>
      <c r="C248" s="88" t="s">
        <v>166</v>
      </c>
      <c r="D248" s="88" t="s">
        <v>396</v>
      </c>
      <c r="E248" s="98" t="n">
        <v>3475.86</v>
      </c>
      <c r="F248" s="102" t="n">
        <f aca="false">$E248*Parametros!$C$22</f>
        <v>16684.128</v>
      </c>
      <c r="G248" s="90" t="n">
        <v>3.72</v>
      </c>
      <c r="H248" s="102" t="n">
        <f aca="false">$E248*Parametros!$C$23</f>
        <v>2085.516</v>
      </c>
      <c r="I248" s="90" t="n">
        <v>0.286</v>
      </c>
    </row>
    <row r="249" customFormat="false" ht="15" hidden="false" customHeight="false" outlineLevel="0" collapsed="false">
      <c r="A249" s="88" t="s">
        <v>163</v>
      </c>
      <c r="B249" s="97" t="n">
        <v>3</v>
      </c>
      <c r="C249" s="88" t="s">
        <v>166</v>
      </c>
      <c r="D249" s="88" t="s">
        <v>397</v>
      </c>
      <c r="E249" s="98" t="n">
        <v>3475.86</v>
      </c>
      <c r="F249" s="102" t="n">
        <f aca="false">$E249*Parametros!$C$22</f>
        <v>16684.128</v>
      </c>
      <c r="G249" s="90" t="n">
        <v>1.17</v>
      </c>
      <c r="H249" s="102" t="n">
        <f aca="false">$E249*Parametros!$C$23</f>
        <v>2085.516</v>
      </c>
      <c r="I249" s="90" t="n">
        <v>0.257</v>
      </c>
    </row>
    <row r="250" customFormat="false" ht="15" hidden="false" customHeight="false" outlineLevel="0" collapsed="false">
      <c r="A250" s="88" t="s">
        <v>163</v>
      </c>
      <c r="B250" s="97" t="n">
        <v>3</v>
      </c>
      <c r="C250" s="88" t="s">
        <v>166</v>
      </c>
      <c r="D250" s="88" t="s">
        <v>398</v>
      </c>
      <c r="E250" s="98" t="n">
        <v>3475.86</v>
      </c>
      <c r="F250" s="102" t="n">
        <f aca="false">$E250*Parametros!$C$22</f>
        <v>16684.128</v>
      </c>
      <c r="G250" s="90"/>
      <c r="H250" s="102" t="n">
        <f aca="false">$E250*Parametros!$C$23</f>
        <v>2085.516</v>
      </c>
      <c r="I250" s="90" t="n">
        <v>0.189</v>
      </c>
    </row>
    <row r="251" customFormat="false" ht="15" hidden="false" customHeight="false" outlineLevel="0" collapsed="false">
      <c r="A251" s="88" t="s">
        <v>163</v>
      </c>
      <c r="B251" s="97" t="n">
        <v>3</v>
      </c>
      <c r="C251" s="88" t="s">
        <v>166</v>
      </c>
      <c r="D251" s="88" t="s">
        <v>399</v>
      </c>
      <c r="E251" s="98" t="n">
        <v>3475.86</v>
      </c>
      <c r="F251" s="102" t="n">
        <f aca="false">$E251*Parametros!$C$22</f>
        <v>16684.128</v>
      </c>
      <c r="G251" s="90"/>
      <c r="H251" s="102" t="n">
        <f aca="false">$E251*Parametros!$C$23</f>
        <v>2085.516</v>
      </c>
      <c r="I251" s="90" t="n">
        <v>0.227</v>
      </c>
    </row>
    <row r="252" customFormat="false" ht="15" hidden="false" customHeight="false" outlineLevel="0" collapsed="false">
      <c r="A252" s="88" t="s">
        <v>163</v>
      </c>
      <c r="B252" s="97" t="n">
        <v>3</v>
      </c>
      <c r="C252" s="88" t="s">
        <v>166</v>
      </c>
      <c r="D252" s="88" t="s">
        <v>400</v>
      </c>
      <c r="E252" s="98" t="n">
        <v>3475.86</v>
      </c>
      <c r="F252" s="102" t="n">
        <f aca="false">$E252*Parametros!$C$22</f>
        <v>16684.128</v>
      </c>
      <c r="G252" s="90"/>
      <c r="H252" s="102" t="n">
        <f aca="false">$E252*Parametros!$C$23</f>
        <v>2085.516</v>
      </c>
      <c r="I252" s="90" t="n">
        <v>0.124</v>
      </c>
    </row>
    <row r="253" customFormat="false" ht="15" hidden="false" customHeight="false" outlineLevel="0" collapsed="false">
      <c r="A253" s="88" t="s">
        <v>163</v>
      </c>
      <c r="B253" s="97" t="n">
        <v>3</v>
      </c>
      <c r="C253" s="88" t="s">
        <v>166</v>
      </c>
      <c r="D253" s="88" t="s">
        <v>401</v>
      </c>
      <c r="E253" s="98" t="n">
        <v>3475.86</v>
      </c>
      <c r="F253" s="102" t="n">
        <f aca="false">$E253*Parametros!$C$22</f>
        <v>16684.128</v>
      </c>
      <c r="G253" s="90" t="n">
        <v>1.41</v>
      </c>
      <c r="H253" s="102" t="n">
        <f aca="false">$E253*Parametros!$C$23</f>
        <v>2085.516</v>
      </c>
      <c r="I253" s="90" t="n">
        <v>0.792</v>
      </c>
    </row>
    <row r="254" customFormat="false" ht="15" hidden="false" customHeight="false" outlineLevel="0" collapsed="false">
      <c r="A254" s="88" t="s">
        <v>163</v>
      </c>
      <c r="B254" s="97" t="n">
        <v>3</v>
      </c>
      <c r="C254" s="88" t="s">
        <v>166</v>
      </c>
      <c r="D254" s="88" t="s">
        <v>402</v>
      </c>
      <c r="E254" s="98" t="n">
        <v>3475.86</v>
      </c>
      <c r="F254" s="102" t="n">
        <f aca="false">$E254*Parametros!$C$22</f>
        <v>16684.128</v>
      </c>
      <c r="G254" s="90"/>
      <c r="H254" s="102" t="n">
        <f aca="false">$E254*Parametros!$C$23</f>
        <v>2085.516</v>
      </c>
      <c r="I254" s="90" t="n">
        <v>0.174</v>
      </c>
    </row>
    <row r="255" customFormat="false" ht="15" hidden="false" customHeight="false" outlineLevel="0" collapsed="false">
      <c r="A255" s="88" t="s">
        <v>163</v>
      </c>
      <c r="B255" s="97" t="n">
        <v>3</v>
      </c>
      <c r="C255" s="88" t="s">
        <v>166</v>
      </c>
      <c r="D255" s="88" t="s">
        <v>403</v>
      </c>
      <c r="E255" s="98" t="n">
        <v>3475.86</v>
      </c>
      <c r="F255" s="102" t="n">
        <f aca="false">$E255*Parametros!$C$22</f>
        <v>16684.128</v>
      </c>
      <c r="G255" s="90"/>
      <c r="H255" s="102" t="n">
        <f aca="false">$E255*Parametros!$C$23</f>
        <v>2085.516</v>
      </c>
      <c r="I255" s="90" t="n">
        <v>0.39</v>
      </c>
    </row>
    <row r="256" customFormat="false" ht="15" hidden="false" customHeight="false" outlineLevel="0" collapsed="false">
      <c r="A256" s="88" t="s">
        <v>163</v>
      </c>
      <c r="B256" s="97" t="n">
        <v>3</v>
      </c>
      <c r="C256" s="88" t="s">
        <v>166</v>
      </c>
      <c r="D256" s="88" t="s">
        <v>404</v>
      </c>
      <c r="E256" s="98" t="n">
        <v>3475.86</v>
      </c>
      <c r="F256" s="102" t="n">
        <f aca="false">$E256*Parametros!$C$22</f>
        <v>16684.128</v>
      </c>
      <c r="G256" s="90"/>
      <c r="H256" s="102" t="n">
        <f aca="false">$E256*Parametros!$C$23</f>
        <v>2085.516</v>
      </c>
      <c r="I256" s="90" t="n">
        <v>0.0959</v>
      </c>
    </row>
    <row r="257" customFormat="false" ht="15" hidden="false" customHeight="false" outlineLevel="0" collapsed="false">
      <c r="A257" s="88" t="s">
        <v>163</v>
      </c>
      <c r="B257" s="97" t="n">
        <v>3</v>
      </c>
      <c r="C257" s="88" t="s">
        <v>166</v>
      </c>
      <c r="D257" s="88" t="s">
        <v>405</v>
      </c>
      <c r="E257" s="98" t="n">
        <v>3475.86</v>
      </c>
      <c r="F257" s="102" t="n">
        <f aca="false">$E257*Parametros!$C$22</f>
        <v>16684.128</v>
      </c>
      <c r="G257" s="90"/>
      <c r="H257" s="102" t="n">
        <f aca="false">$E257*Parametros!$C$23</f>
        <v>2085.516</v>
      </c>
      <c r="I257" s="90" t="n">
        <v>0.141</v>
      </c>
    </row>
    <row r="258" customFormat="false" ht="15" hidden="false" customHeight="false" outlineLevel="0" collapsed="false">
      <c r="A258" s="88" t="s">
        <v>163</v>
      </c>
      <c r="B258" s="97" t="n">
        <v>3</v>
      </c>
      <c r="C258" s="88" t="s">
        <v>166</v>
      </c>
      <c r="D258" s="88" t="s">
        <v>406</v>
      </c>
      <c r="E258" s="98" t="n">
        <v>3475.86</v>
      </c>
      <c r="F258" s="102" t="n">
        <f aca="false">$E258*Parametros!$C$22</f>
        <v>16684.128</v>
      </c>
      <c r="G258" s="90"/>
      <c r="H258" s="102" t="n">
        <f aca="false">$E258*Parametros!$C$23</f>
        <v>2085.516</v>
      </c>
      <c r="I258" s="90" t="n">
        <v>0.088</v>
      </c>
    </row>
    <row r="259" customFormat="false" ht="15" hidden="false" customHeight="false" outlineLevel="0" collapsed="false">
      <c r="A259" s="88" t="s">
        <v>163</v>
      </c>
      <c r="B259" s="97" t="n">
        <v>3</v>
      </c>
      <c r="C259" s="88" t="s">
        <v>166</v>
      </c>
      <c r="D259" s="88" t="s">
        <v>407</v>
      </c>
      <c r="E259" s="98" t="n">
        <v>3475.86</v>
      </c>
      <c r="F259" s="102" t="n">
        <f aca="false">$E259*Parametros!$C$22</f>
        <v>16684.128</v>
      </c>
      <c r="G259" s="90"/>
      <c r="H259" s="102" t="n">
        <f aca="false">$E259*Parametros!$C$23</f>
        <v>2085.516</v>
      </c>
      <c r="I259" s="90" t="n">
        <v>0.18</v>
      </c>
    </row>
    <row r="260" customFormat="false" ht="15" hidden="false" customHeight="false" outlineLevel="0" collapsed="false">
      <c r="A260" s="88" t="s">
        <v>163</v>
      </c>
      <c r="B260" s="97" t="n">
        <v>3</v>
      </c>
      <c r="C260" s="88" t="s">
        <v>166</v>
      </c>
      <c r="D260" s="88" t="s">
        <v>408</v>
      </c>
      <c r="E260" s="98" t="n">
        <v>3475.86</v>
      </c>
      <c r="F260" s="102" t="n">
        <f aca="false">$E260*Parametros!$C$22</f>
        <v>16684.128</v>
      </c>
      <c r="G260" s="90" t="n">
        <v>0.97</v>
      </c>
      <c r="H260" s="102" t="n">
        <f aca="false">$E260*Parametros!$C$23</f>
        <v>2085.516</v>
      </c>
      <c r="I260" s="90" t="n">
        <v>0.112</v>
      </c>
    </row>
    <row r="261" customFormat="false" ht="15" hidden="false" customHeight="false" outlineLevel="0" collapsed="false">
      <c r="A261" s="88" t="s">
        <v>170</v>
      </c>
      <c r="B261" s="97" t="n">
        <v>1</v>
      </c>
      <c r="C261" s="88" t="s">
        <v>410</v>
      </c>
      <c r="D261" s="88" t="s">
        <v>411</v>
      </c>
      <c r="E261" s="98" t="n">
        <v>896.63</v>
      </c>
      <c r="F261" s="102" t="n">
        <f aca="false">$E261*Parametros!$C$22</f>
        <v>4303.824</v>
      </c>
      <c r="G261" s="90"/>
      <c r="H261" s="102" t="n">
        <f aca="false">$E261*Parametros!$C$23</f>
        <v>537.978</v>
      </c>
      <c r="I261" s="90" t="n">
        <v>0.39</v>
      </c>
    </row>
    <row r="262" customFormat="false" ht="15" hidden="false" customHeight="false" outlineLevel="0" collapsed="false">
      <c r="A262" s="88" t="s">
        <v>170</v>
      </c>
      <c r="B262" s="97" t="n">
        <v>1</v>
      </c>
      <c r="C262" s="88" t="s">
        <v>410</v>
      </c>
      <c r="D262" s="88" t="s">
        <v>412</v>
      </c>
      <c r="E262" s="98" t="n">
        <v>896.63</v>
      </c>
      <c r="F262" s="102" t="n">
        <f aca="false">$E262*Parametros!$C$22</f>
        <v>4303.824</v>
      </c>
      <c r="G262" s="90"/>
      <c r="H262" s="102" t="n">
        <f aca="false">$E262*Parametros!$C$23</f>
        <v>537.978</v>
      </c>
      <c r="I262" s="90" t="n">
        <v>0.0959</v>
      </c>
    </row>
    <row r="263" customFormat="false" ht="15" hidden="false" customHeight="false" outlineLevel="0" collapsed="false">
      <c r="A263" s="88" t="s">
        <v>170</v>
      </c>
      <c r="B263" s="97" t="n">
        <v>1</v>
      </c>
      <c r="C263" s="88" t="s">
        <v>410</v>
      </c>
      <c r="D263" s="88" t="s">
        <v>413</v>
      </c>
      <c r="E263" s="98" t="n">
        <v>896.63</v>
      </c>
      <c r="F263" s="102" t="n">
        <f aca="false">$E263*Parametros!$C$22</f>
        <v>4303.824</v>
      </c>
      <c r="G263" s="90" t="n">
        <v>7.87</v>
      </c>
      <c r="H263" s="102" t="n">
        <f aca="false">$E263*Parametros!$C$23</f>
        <v>537.978</v>
      </c>
      <c r="I263" s="90" t="n">
        <v>0.61</v>
      </c>
    </row>
    <row r="264" customFormat="false" ht="15" hidden="false" customHeight="false" outlineLevel="0" collapsed="false">
      <c r="A264" s="88" t="s">
        <v>170</v>
      </c>
      <c r="B264" s="97" t="n">
        <v>1</v>
      </c>
      <c r="C264" s="88" t="s">
        <v>410</v>
      </c>
      <c r="D264" s="88" t="s">
        <v>391</v>
      </c>
      <c r="E264" s="98" t="n">
        <v>896.63</v>
      </c>
      <c r="F264" s="102" t="n">
        <f aca="false">$E264*Parametros!$C$22</f>
        <v>4303.824</v>
      </c>
      <c r="G264" s="90" t="n">
        <v>1.96</v>
      </c>
      <c r="H264" s="102" t="n">
        <f aca="false">$E264*Parametros!$C$23</f>
        <v>537.978</v>
      </c>
      <c r="I264" s="90" t="n">
        <v>0.0509</v>
      </c>
    </row>
    <row r="265" customFormat="false" ht="15" hidden="false" customHeight="false" outlineLevel="0" collapsed="false">
      <c r="A265" s="88" t="s">
        <v>170</v>
      </c>
      <c r="B265" s="97" t="n">
        <v>1</v>
      </c>
      <c r="C265" s="88" t="s">
        <v>410</v>
      </c>
      <c r="D265" s="88" t="s">
        <v>414</v>
      </c>
      <c r="E265" s="98" t="n">
        <v>896.63</v>
      </c>
      <c r="F265" s="102" t="n">
        <f aca="false">$E265*Parametros!$C$22</f>
        <v>4303.824</v>
      </c>
      <c r="G265" s="90" t="n">
        <v>4.43</v>
      </c>
      <c r="H265" s="102" t="n">
        <f aca="false">$E265*Parametros!$C$23</f>
        <v>537.978</v>
      </c>
      <c r="I265" s="90" t="n">
        <v>0.311</v>
      </c>
    </row>
    <row r="266" customFormat="false" ht="15" hidden="false" customHeight="false" outlineLevel="0" collapsed="false">
      <c r="A266" s="88" t="s">
        <v>170</v>
      </c>
      <c r="B266" s="97" t="n">
        <v>1</v>
      </c>
      <c r="C266" s="88" t="s">
        <v>410</v>
      </c>
      <c r="D266" s="88" t="s">
        <v>415</v>
      </c>
      <c r="E266" s="98" t="n">
        <v>896.63</v>
      </c>
      <c r="F266" s="102" t="n">
        <f aca="false">$E266*Parametros!$C$22</f>
        <v>4303.824</v>
      </c>
      <c r="G266" s="90"/>
      <c r="H266" s="102" t="n">
        <f aca="false">$E266*Parametros!$C$23</f>
        <v>537.978</v>
      </c>
      <c r="I266" s="90" t="n">
        <v>0.245</v>
      </c>
    </row>
    <row r="267" customFormat="false" ht="15" hidden="false" customHeight="false" outlineLevel="0" collapsed="false">
      <c r="A267" s="88" t="s">
        <v>170</v>
      </c>
      <c r="B267" s="97" t="n">
        <v>1</v>
      </c>
      <c r="C267" s="88" t="s">
        <v>410</v>
      </c>
      <c r="D267" s="88" t="s">
        <v>416</v>
      </c>
      <c r="E267" s="98" t="n">
        <v>896.63</v>
      </c>
      <c r="F267" s="102" t="n">
        <f aca="false">$E267*Parametros!$C$22</f>
        <v>4303.824</v>
      </c>
      <c r="G267" s="90"/>
      <c r="H267" s="102" t="n">
        <f aca="false">$E267*Parametros!$C$23</f>
        <v>537.978</v>
      </c>
      <c r="I267" s="90" t="n">
        <v>0.0935</v>
      </c>
    </row>
    <row r="268" customFormat="false" ht="15" hidden="false" customHeight="false" outlineLevel="0" collapsed="false">
      <c r="A268" s="88" t="s">
        <v>170</v>
      </c>
      <c r="B268" s="97" t="n">
        <v>1</v>
      </c>
      <c r="C268" s="88" t="s">
        <v>410</v>
      </c>
      <c r="D268" s="88" t="s">
        <v>417</v>
      </c>
      <c r="E268" s="98" t="n">
        <v>896.63</v>
      </c>
      <c r="F268" s="102" t="n">
        <f aca="false">$E268*Parametros!$C$22</f>
        <v>4303.824</v>
      </c>
      <c r="G268" s="90"/>
      <c r="H268" s="102" t="n">
        <f aca="false">$E268*Parametros!$C$23</f>
        <v>537.978</v>
      </c>
      <c r="I268" s="90" t="n">
        <v>0.264</v>
      </c>
    </row>
    <row r="269" customFormat="false" ht="15" hidden="false" customHeight="false" outlineLevel="0" collapsed="false">
      <c r="A269" s="88" t="s">
        <v>170</v>
      </c>
      <c r="B269" s="97" t="n">
        <v>1</v>
      </c>
      <c r="C269" s="88" t="s">
        <v>410</v>
      </c>
      <c r="D269" s="88" t="s">
        <v>418</v>
      </c>
      <c r="E269" s="98" t="n">
        <v>896.63</v>
      </c>
      <c r="F269" s="102" t="n">
        <f aca="false">$E269*Parametros!$C$22</f>
        <v>4303.824</v>
      </c>
      <c r="G269" s="90" t="n">
        <v>1.78</v>
      </c>
      <c r="H269" s="102" t="n">
        <f aca="false">$E269*Parametros!$C$23</f>
        <v>537.978</v>
      </c>
      <c r="I269" s="90" t="n">
        <v>0.393</v>
      </c>
    </row>
    <row r="270" customFormat="false" ht="15" hidden="false" customHeight="false" outlineLevel="0" collapsed="false">
      <c r="A270" s="88" t="s">
        <v>170</v>
      </c>
      <c r="B270" s="97" t="n">
        <v>1</v>
      </c>
      <c r="C270" s="88" t="s">
        <v>410</v>
      </c>
      <c r="D270" s="88" t="s">
        <v>419</v>
      </c>
      <c r="E270" s="98" t="n">
        <v>896.63</v>
      </c>
      <c r="F270" s="102" t="n">
        <f aca="false">$E270*Parametros!$C$22</f>
        <v>4303.824</v>
      </c>
      <c r="G270" s="90"/>
      <c r="H270" s="102" t="n">
        <f aca="false">$E270*Parametros!$C$23</f>
        <v>537.978</v>
      </c>
      <c r="I270" s="90" t="n">
        <v>0.269</v>
      </c>
    </row>
    <row r="271" customFormat="false" ht="15" hidden="false" customHeight="false" outlineLevel="0" collapsed="false">
      <c r="A271" s="88" t="s">
        <v>170</v>
      </c>
      <c r="B271" s="97" t="n">
        <v>1</v>
      </c>
      <c r="C271" s="88" t="s">
        <v>410</v>
      </c>
      <c r="D271" s="88" t="s">
        <v>420</v>
      </c>
      <c r="E271" s="98" t="n">
        <v>896.63</v>
      </c>
      <c r="F271" s="102" t="n">
        <f aca="false">$E271*Parametros!$C$22</f>
        <v>4303.824</v>
      </c>
      <c r="G271" s="90"/>
      <c r="H271" s="102" t="n">
        <f aca="false">$E271*Parametros!$C$23</f>
        <v>537.978</v>
      </c>
      <c r="I271" s="90" t="n">
        <v>0.236</v>
      </c>
    </row>
    <row r="272" customFormat="false" ht="15" hidden="false" customHeight="false" outlineLevel="0" collapsed="false">
      <c r="A272" s="88" t="s">
        <v>170</v>
      </c>
      <c r="B272" s="97" t="n">
        <v>1</v>
      </c>
      <c r="C272" s="88" t="s">
        <v>410</v>
      </c>
      <c r="D272" s="88" t="s">
        <v>421</v>
      </c>
      <c r="E272" s="98" t="n">
        <v>896.63</v>
      </c>
      <c r="F272" s="102" t="n">
        <f aca="false">$E272*Parametros!$C$22</f>
        <v>4303.824</v>
      </c>
      <c r="G272" s="90" t="n">
        <v>1.44</v>
      </c>
      <c r="H272" s="102" t="n">
        <f aca="false">$E272*Parametros!$C$23</f>
        <v>537.978</v>
      </c>
      <c r="I272" s="90" t="n">
        <v>1.89</v>
      </c>
    </row>
    <row r="273" customFormat="false" ht="15" hidden="false" customHeight="false" outlineLevel="0" collapsed="false">
      <c r="A273" s="88" t="s">
        <v>170</v>
      </c>
      <c r="B273" s="97" t="n">
        <v>1</v>
      </c>
      <c r="C273" s="88" t="s">
        <v>410</v>
      </c>
      <c r="D273" s="88" t="s">
        <v>403</v>
      </c>
      <c r="E273" s="98" t="n">
        <v>896.63</v>
      </c>
      <c r="F273" s="102" t="n">
        <f aca="false">$E273*Parametros!$C$22</f>
        <v>4303.824</v>
      </c>
      <c r="G273" s="90"/>
      <c r="H273" s="102" t="n">
        <f aca="false">$E273*Parametros!$C$23</f>
        <v>537.978</v>
      </c>
      <c r="I273" s="90" t="n">
        <v>0.37</v>
      </c>
    </row>
    <row r="274" customFormat="false" ht="15" hidden="false" customHeight="false" outlineLevel="0" collapsed="false">
      <c r="A274" s="88" t="s">
        <v>170</v>
      </c>
      <c r="B274" s="97" t="n">
        <v>1</v>
      </c>
      <c r="C274" s="88" t="s">
        <v>410</v>
      </c>
      <c r="D274" s="88" t="s">
        <v>422</v>
      </c>
      <c r="E274" s="98" t="n">
        <v>896.63</v>
      </c>
      <c r="F274" s="102" t="n">
        <f aca="false">$E274*Parametros!$C$22</f>
        <v>4303.824</v>
      </c>
      <c r="G274" s="90" t="n">
        <v>2.12</v>
      </c>
      <c r="H274" s="102" t="n">
        <f aca="false">$E274*Parametros!$C$23</f>
        <v>537.978</v>
      </c>
      <c r="I274" s="90" t="n">
        <v>0.0959</v>
      </c>
    </row>
    <row r="275" customFormat="false" ht="15" hidden="false" customHeight="false" outlineLevel="0" collapsed="false">
      <c r="A275" s="88" t="s">
        <v>170</v>
      </c>
      <c r="B275" s="97" t="n">
        <v>1</v>
      </c>
      <c r="C275" s="88" t="s">
        <v>410</v>
      </c>
      <c r="D275" s="88" t="s">
        <v>423</v>
      </c>
      <c r="E275" s="98" t="n">
        <v>896.63</v>
      </c>
      <c r="F275" s="102" t="n">
        <f aca="false">$E275*Parametros!$C$22</f>
        <v>4303.824</v>
      </c>
      <c r="G275" s="90" t="n">
        <v>1.2</v>
      </c>
      <c r="H275" s="102" t="n">
        <f aca="false">$E275*Parametros!$C$23</f>
        <v>537.978</v>
      </c>
      <c r="I275" s="90" t="n">
        <v>0.0959</v>
      </c>
    </row>
    <row r="276" customFormat="false" ht="15" hidden="false" customHeight="false" outlineLevel="0" collapsed="false">
      <c r="A276" s="88" t="s">
        <v>170</v>
      </c>
      <c r="B276" s="97" t="n">
        <v>1</v>
      </c>
      <c r="C276" s="88" t="s">
        <v>410</v>
      </c>
      <c r="D276" s="88" t="s">
        <v>406</v>
      </c>
      <c r="E276" s="98" t="n">
        <v>896.63</v>
      </c>
      <c r="F276" s="102" t="n">
        <f aca="false">$E276*Parametros!$C$22</f>
        <v>4303.824</v>
      </c>
      <c r="G276" s="90"/>
      <c r="H276" s="102" t="n">
        <f aca="false">$E276*Parametros!$C$23</f>
        <v>537.978</v>
      </c>
      <c r="I276" s="90" t="n">
        <v>1.61</v>
      </c>
    </row>
    <row r="277" customFormat="false" ht="15" hidden="false" customHeight="false" outlineLevel="0" collapsed="false">
      <c r="A277" s="88" t="s">
        <v>170</v>
      </c>
      <c r="B277" s="97" t="n">
        <v>1</v>
      </c>
      <c r="C277" s="88" t="s">
        <v>410</v>
      </c>
      <c r="D277" s="88" t="s">
        <v>424</v>
      </c>
      <c r="E277" s="98" t="n">
        <v>896.63</v>
      </c>
      <c r="F277" s="102" t="n">
        <f aca="false">$E277*Parametros!$C$22</f>
        <v>4303.824</v>
      </c>
      <c r="G277" s="90"/>
      <c r="H277" s="102" t="n">
        <f aca="false">$E277*Parametros!$C$23</f>
        <v>537.978</v>
      </c>
      <c r="I277" s="90" t="n">
        <v>0.108</v>
      </c>
    </row>
    <row r="278" customFormat="false" ht="15" hidden="false" customHeight="false" outlineLevel="0" collapsed="false">
      <c r="A278" s="88" t="s">
        <v>170</v>
      </c>
      <c r="B278" s="97" t="n">
        <v>1</v>
      </c>
      <c r="C278" s="88" t="s">
        <v>410</v>
      </c>
      <c r="D278" s="88" t="s">
        <v>425</v>
      </c>
      <c r="E278" s="98" t="n">
        <v>896.63</v>
      </c>
      <c r="F278" s="102" t="n">
        <f aca="false">$E278*Parametros!$C$22</f>
        <v>4303.824</v>
      </c>
      <c r="G278" s="90"/>
      <c r="H278" s="102" t="n">
        <f aca="false">$E278*Parametros!$C$23</f>
        <v>537.978</v>
      </c>
      <c r="I278" s="90" t="n">
        <v>0.557</v>
      </c>
    </row>
    <row r="279" customFormat="false" ht="15" hidden="false" customHeight="false" outlineLevel="0" collapsed="false">
      <c r="A279" s="88" t="s">
        <v>174</v>
      </c>
      <c r="B279" s="97" t="n">
        <v>1</v>
      </c>
      <c r="C279" s="88" t="s">
        <v>426</v>
      </c>
      <c r="D279" s="88" t="s">
        <v>427</v>
      </c>
      <c r="E279" s="98" t="n">
        <v>1825.85</v>
      </c>
      <c r="F279" s="102" t="n">
        <f aca="false">$E279*Parametros!$C$22</f>
        <v>8764.08</v>
      </c>
      <c r="G279" s="90"/>
      <c r="H279" s="102" t="n">
        <f aca="false">$E279*Parametros!$C$23</f>
        <v>1095.51</v>
      </c>
      <c r="I279" s="90" t="n">
        <v>0.072</v>
      </c>
    </row>
    <row r="280" customFormat="false" ht="15" hidden="false" customHeight="false" outlineLevel="0" collapsed="false">
      <c r="A280" s="88" t="s">
        <v>174</v>
      </c>
      <c r="B280" s="97" t="n">
        <v>1</v>
      </c>
      <c r="C280" s="88" t="s">
        <v>426</v>
      </c>
      <c r="D280" s="88" t="s">
        <v>428</v>
      </c>
      <c r="E280" s="98" t="n">
        <v>1825.85</v>
      </c>
      <c r="F280" s="102" t="n">
        <f aca="false">$E280*Parametros!$C$22</f>
        <v>8764.08</v>
      </c>
      <c r="G280" s="90"/>
      <c r="H280" s="102" t="n">
        <f aca="false">$E280*Parametros!$C$23</f>
        <v>1095.51</v>
      </c>
      <c r="I280" s="90" t="n">
        <v>0.0946</v>
      </c>
    </row>
    <row r="281" customFormat="false" ht="15" hidden="false" customHeight="false" outlineLevel="0" collapsed="false">
      <c r="A281" s="88" t="s">
        <v>174</v>
      </c>
      <c r="B281" s="97" t="n">
        <v>1</v>
      </c>
      <c r="C281" s="88" t="s">
        <v>426</v>
      </c>
      <c r="D281" s="88" t="s">
        <v>429</v>
      </c>
      <c r="E281" s="98" t="n">
        <v>1825.85</v>
      </c>
      <c r="F281" s="102" t="n">
        <f aca="false">$E281*Parametros!$C$22</f>
        <v>8764.08</v>
      </c>
      <c r="G281" s="90" t="n">
        <v>1.42</v>
      </c>
      <c r="H281" s="102" t="n">
        <f aca="false">$E281*Parametros!$C$23</f>
        <v>1095.51</v>
      </c>
      <c r="I281" s="90" t="n">
        <v>0.0946</v>
      </c>
    </row>
    <row r="282" customFormat="false" ht="15" hidden="false" customHeight="false" outlineLevel="0" collapsed="false">
      <c r="A282" s="88" t="s">
        <v>174</v>
      </c>
      <c r="B282" s="97" t="n">
        <v>1</v>
      </c>
      <c r="C282" s="88" t="s">
        <v>426</v>
      </c>
      <c r="D282" s="88" t="s">
        <v>430</v>
      </c>
      <c r="E282" s="98" t="n">
        <v>1825.85</v>
      </c>
      <c r="F282" s="102" t="n">
        <f aca="false">$E282*Parametros!$C$22</f>
        <v>8764.08</v>
      </c>
      <c r="G282" s="90" t="n">
        <v>1.89</v>
      </c>
      <c r="H282" s="102" t="n">
        <f aca="false">$E282*Parametros!$C$23</f>
        <v>1095.51</v>
      </c>
      <c r="I282" s="90" t="n">
        <v>0.113</v>
      </c>
    </row>
    <row r="283" customFormat="false" ht="15" hidden="false" customHeight="false" outlineLevel="0" collapsed="false">
      <c r="A283" s="88" t="s">
        <v>174</v>
      </c>
      <c r="B283" s="97" t="n">
        <v>1</v>
      </c>
      <c r="C283" s="88" t="s">
        <v>426</v>
      </c>
      <c r="D283" s="88" t="s">
        <v>431</v>
      </c>
      <c r="E283" s="98" t="n">
        <v>1825.85</v>
      </c>
      <c r="F283" s="102" t="n">
        <f aca="false">$E283*Parametros!$C$22</f>
        <v>8764.08</v>
      </c>
      <c r="G283" s="90" t="n">
        <v>2.49</v>
      </c>
      <c r="H283" s="102" t="n">
        <f aca="false">$E283*Parametros!$C$23</f>
        <v>1095.51</v>
      </c>
      <c r="I283" s="90" t="n">
        <v>0.13</v>
      </c>
    </row>
    <row r="284" customFormat="false" ht="15" hidden="false" customHeight="false" outlineLevel="0" collapsed="false">
      <c r="A284" s="88" t="s">
        <v>174</v>
      </c>
      <c r="B284" s="97" t="n">
        <v>1</v>
      </c>
      <c r="C284" s="88" t="s">
        <v>426</v>
      </c>
      <c r="D284" s="88" t="s">
        <v>432</v>
      </c>
      <c r="E284" s="98" t="n">
        <v>1825.85</v>
      </c>
      <c r="F284" s="102" t="n">
        <f aca="false">$E284*Parametros!$C$22</f>
        <v>8764.08</v>
      </c>
      <c r="G284" s="90"/>
      <c r="H284" s="102" t="n">
        <f aca="false">$E284*Parametros!$C$23</f>
        <v>1095.51</v>
      </c>
      <c r="I284" s="90" t="n">
        <v>0.226</v>
      </c>
    </row>
    <row r="285" customFormat="false" ht="15" hidden="false" customHeight="false" outlineLevel="0" collapsed="false">
      <c r="A285" s="88" t="s">
        <v>174</v>
      </c>
      <c r="B285" s="97" t="n">
        <v>1</v>
      </c>
      <c r="C285" s="88" t="s">
        <v>426</v>
      </c>
      <c r="D285" s="88" t="s">
        <v>433</v>
      </c>
      <c r="E285" s="98" t="n">
        <v>1825.85</v>
      </c>
      <c r="F285" s="102" t="n">
        <f aca="false">$E285*Parametros!$C$22</f>
        <v>8764.08</v>
      </c>
      <c r="G285" s="90" t="n">
        <v>2.7</v>
      </c>
      <c r="H285" s="102" t="n">
        <f aca="false">$E285*Parametros!$C$23</f>
        <v>1095.51</v>
      </c>
      <c r="I285" s="90" t="n">
        <v>0.297</v>
      </c>
    </row>
    <row r="286" customFormat="false" ht="15" hidden="false" customHeight="false" outlineLevel="0" collapsed="false">
      <c r="A286" s="88" t="s">
        <v>174</v>
      </c>
      <c r="B286" s="97" t="n">
        <v>1</v>
      </c>
      <c r="C286" s="88" t="s">
        <v>426</v>
      </c>
      <c r="D286" s="88" t="s">
        <v>434</v>
      </c>
      <c r="E286" s="98" t="n">
        <v>1825.85</v>
      </c>
      <c r="F286" s="102" t="n">
        <f aca="false">$E286*Parametros!$C$22</f>
        <v>8764.08</v>
      </c>
      <c r="G286" s="90"/>
      <c r="H286" s="102" t="n">
        <f aca="false">$E286*Parametros!$C$23</f>
        <v>1095.51</v>
      </c>
      <c r="I286" s="90" t="n">
        <v>0.182</v>
      </c>
    </row>
    <row r="287" customFormat="false" ht="15" hidden="false" customHeight="false" outlineLevel="0" collapsed="false">
      <c r="A287" s="88" t="s">
        <v>174</v>
      </c>
      <c r="B287" s="97" t="n">
        <v>1</v>
      </c>
      <c r="C287" s="88" t="s">
        <v>426</v>
      </c>
      <c r="D287" s="88" t="s">
        <v>435</v>
      </c>
      <c r="E287" s="98" t="n">
        <v>1825.85</v>
      </c>
      <c r="F287" s="102" t="n">
        <f aca="false">$E287*Parametros!$C$22</f>
        <v>8764.08</v>
      </c>
      <c r="G287" s="90" t="n">
        <v>0.896</v>
      </c>
      <c r="H287" s="102" t="n">
        <f aca="false">$E287*Parametros!$C$23</f>
        <v>1095.51</v>
      </c>
      <c r="I287" s="90" t="n">
        <v>0.096</v>
      </c>
    </row>
    <row r="288" customFormat="false" ht="15" hidden="false" customHeight="false" outlineLevel="0" collapsed="false">
      <c r="A288" s="88" t="s">
        <v>174</v>
      </c>
      <c r="B288" s="97" t="n">
        <v>1</v>
      </c>
      <c r="C288" s="88" t="s">
        <v>426</v>
      </c>
      <c r="D288" s="88" t="s">
        <v>436</v>
      </c>
      <c r="E288" s="98" t="n">
        <v>1825.85</v>
      </c>
      <c r="F288" s="102" t="n">
        <f aca="false">$E288*Parametros!$C$22</f>
        <v>8764.08</v>
      </c>
      <c r="G288" s="90" t="n">
        <v>1.26</v>
      </c>
      <c r="H288" s="102" t="n">
        <f aca="false">$E288*Parametros!$C$23</f>
        <v>1095.51</v>
      </c>
      <c r="I288" s="90" t="n">
        <v>0.161</v>
      </c>
    </row>
    <row r="289" customFormat="false" ht="15" hidden="false" customHeight="false" outlineLevel="0" collapsed="false">
      <c r="A289" s="88" t="s">
        <v>174</v>
      </c>
      <c r="B289" s="97" t="n">
        <v>1</v>
      </c>
      <c r="C289" s="88" t="s">
        <v>426</v>
      </c>
      <c r="D289" s="88" t="s">
        <v>437</v>
      </c>
      <c r="E289" s="98" t="n">
        <v>1825.85</v>
      </c>
      <c r="F289" s="102" t="n">
        <f aca="false">$E289*Parametros!$C$22</f>
        <v>8764.08</v>
      </c>
      <c r="G289" s="90"/>
      <c r="H289" s="102" t="n">
        <f aca="false">$E289*Parametros!$C$23</f>
        <v>1095.51</v>
      </c>
      <c r="I289" s="90" t="n">
        <v>0.0959</v>
      </c>
    </row>
    <row r="290" customFormat="false" ht="15" hidden="false" customHeight="false" outlineLevel="0" collapsed="false">
      <c r="A290" s="88" t="s">
        <v>174</v>
      </c>
      <c r="B290" s="97" t="n">
        <v>1</v>
      </c>
      <c r="C290" s="88" t="s">
        <v>426</v>
      </c>
      <c r="D290" s="88" t="s">
        <v>438</v>
      </c>
      <c r="E290" s="98" t="n">
        <v>1825.85</v>
      </c>
      <c r="F290" s="102" t="n">
        <f aca="false">$E290*Parametros!$C$22</f>
        <v>8764.08</v>
      </c>
      <c r="G290" s="90"/>
      <c r="H290" s="102" t="n">
        <f aca="false">$E290*Parametros!$C$23</f>
        <v>1095.51</v>
      </c>
      <c r="I290" s="90" t="n">
        <v>0.243</v>
      </c>
    </row>
    <row r="291" customFormat="false" ht="15" hidden="false" customHeight="false" outlineLevel="0" collapsed="false">
      <c r="A291" s="88" t="s">
        <v>174</v>
      </c>
      <c r="B291" s="97" t="n">
        <v>1</v>
      </c>
      <c r="C291" s="88" t="s">
        <v>426</v>
      </c>
      <c r="D291" s="88" t="s">
        <v>360</v>
      </c>
      <c r="E291" s="98" t="n">
        <v>1825.85</v>
      </c>
      <c r="F291" s="102" t="n">
        <f aca="false">$E291*Parametros!$C$22</f>
        <v>8764.08</v>
      </c>
      <c r="G291" s="90"/>
      <c r="H291" s="102" t="n">
        <f aca="false">$E291*Parametros!$C$23</f>
        <v>1095.51</v>
      </c>
      <c r="I291" s="90" t="n">
        <v>0.0959</v>
      </c>
    </row>
    <row r="292" customFormat="false" ht="15" hidden="false" customHeight="false" outlineLevel="0" collapsed="false">
      <c r="A292" s="88" t="s">
        <v>174</v>
      </c>
      <c r="B292" s="97" t="n">
        <v>1</v>
      </c>
      <c r="C292" s="88" t="s">
        <v>426</v>
      </c>
      <c r="D292" s="88" t="s">
        <v>361</v>
      </c>
      <c r="E292" s="98" t="n">
        <v>1825.85</v>
      </c>
      <c r="F292" s="102" t="n">
        <f aca="false">$E292*Parametros!$C$22</f>
        <v>8764.08</v>
      </c>
      <c r="G292" s="90" t="n">
        <v>2.11</v>
      </c>
      <c r="H292" s="102" t="n">
        <f aca="false">$E292*Parametros!$C$23</f>
        <v>1095.51</v>
      </c>
      <c r="I292" s="90" t="n">
        <v>0.0509</v>
      </c>
    </row>
    <row r="293" customFormat="false" ht="15" hidden="false" customHeight="false" outlineLevel="0" collapsed="false">
      <c r="A293" s="88" t="s">
        <v>174</v>
      </c>
      <c r="B293" s="97" t="n">
        <v>1</v>
      </c>
      <c r="C293" s="88" t="s">
        <v>426</v>
      </c>
      <c r="D293" s="88" t="s">
        <v>439</v>
      </c>
      <c r="E293" s="98" t="n">
        <v>1825.85</v>
      </c>
      <c r="F293" s="102" t="n">
        <f aca="false">$E293*Parametros!$C$22</f>
        <v>8764.08</v>
      </c>
      <c r="G293" s="90"/>
      <c r="H293" s="102" t="n">
        <f aca="false">$E293*Parametros!$C$23</f>
        <v>1095.51</v>
      </c>
      <c r="I293" s="90" t="n">
        <v>0.1</v>
      </c>
    </row>
    <row r="294" customFormat="false" ht="15" hidden="false" customHeight="false" outlineLevel="0" collapsed="false">
      <c r="A294" s="88" t="s">
        <v>174</v>
      </c>
      <c r="B294" s="97" t="n">
        <v>1</v>
      </c>
      <c r="C294" s="88" t="s">
        <v>426</v>
      </c>
      <c r="D294" s="88" t="s">
        <v>440</v>
      </c>
      <c r="E294" s="98" t="n">
        <v>1825.85</v>
      </c>
      <c r="F294" s="102" t="n">
        <f aca="false">$E294*Parametros!$C$22</f>
        <v>8764.08</v>
      </c>
      <c r="G294" s="90"/>
      <c r="H294" s="102" t="n">
        <f aca="false">$E294*Parametros!$C$23</f>
        <v>1095.51</v>
      </c>
      <c r="I294" s="90" t="n">
        <v>0.297</v>
      </c>
    </row>
    <row r="295" customFormat="false" ht="15" hidden="false" customHeight="false" outlineLevel="0" collapsed="false">
      <c r="A295" s="88" t="s">
        <v>174</v>
      </c>
      <c r="B295" s="97" t="n">
        <v>1</v>
      </c>
      <c r="C295" s="88" t="s">
        <v>426</v>
      </c>
      <c r="D295" s="88" t="s">
        <v>441</v>
      </c>
      <c r="E295" s="98" t="n">
        <v>1825.85</v>
      </c>
      <c r="F295" s="102" t="n">
        <f aca="false">$E295*Parametros!$C$22</f>
        <v>8764.08</v>
      </c>
      <c r="G295" s="90"/>
      <c r="H295" s="102" t="n">
        <f aca="false">$E295*Parametros!$C$23</f>
        <v>1095.51</v>
      </c>
      <c r="I295" s="90" t="n">
        <v>0.225</v>
      </c>
    </row>
    <row r="296" customFormat="false" ht="15" hidden="false" customHeight="false" outlineLevel="0" collapsed="false">
      <c r="A296" s="88" t="s">
        <v>182</v>
      </c>
      <c r="B296" s="97" t="n">
        <v>1</v>
      </c>
      <c r="C296" s="88" t="s">
        <v>442</v>
      </c>
      <c r="D296" s="88" t="s">
        <v>427</v>
      </c>
      <c r="E296" s="98" t="n">
        <v>44.72</v>
      </c>
      <c r="F296" s="102" t="n">
        <f aca="false">$E296*Parametros!$C$22</f>
        <v>214.656</v>
      </c>
      <c r="G296" s="90"/>
      <c r="H296" s="102" t="n">
        <f aca="false">$E296*Parametros!$C$23</f>
        <v>26.832</v>
      </c>
      <c r="I296" s="90" t="n">
        <v>0.0662</v>
      </c>
    </row>
    <row r="297" customFormat="false" ht="15" hidden="false" customHeight="false" outlineLevel="0" collapsed="false">
      <c r="A297" s="88" t="s">
        <v>182</v>
      </c>
      <c r="B297" s="97" t="n">
        <v>1</v>
      </c>
      <c r="C297" s="88" t="s">
        <v>442</v>
      </c>
      <c r="D297" s="88" t="s">
        <v>428</v>
      </c>
      <c r="E297" s="98" t="n">
        <v>44.72</v>
      </c>
      <c r="F297" s="102" t="n">
        <f aca="false">$E297*Parametros!$C$22</f>
        <v>214.656</v>
      </c>
      <c r="G297" s="90"/>
      <c r="H297" s="102" t="n">
        <f aca="false">$E297*Parametros!$C$23</f>
        <v>26.832</v>
      </c>
      <c r="I297" s="90" t="n">
        <v>0.0946</v>
      </c>
    </row>
    <row r="298" customFormat="false" ht="15" hidden="false" customHeight="false" outlineLevel="0" collapsed="false">
      <c r="A298" s="88" t="s">
        <v>182</v>
      </c>
      <c r="B298" s="97" t="n">
        <v>1</v>
      </c>
      <c r="C298" s="88" t="s">
        <v>442</v>
      </c>
      <c r="D298" s="88" t="s">
        <v>429</v>
      </c>
      <c r="E298" s="98" t="n">
        <v>44.72</v>
      </c>
      <c r="F298" s="102" t="n">
        <f aca="false">$E298*Parametros!$C$22</f>
        <v>214.656</v>
      </c>
      <c r="G298" s="90" t="n">
        <v>2.84</v>
      </c>
      <c r="H298" s="102" t="n">
        <f aca="false">$E298*Parametros!$C$23</f>
        <v>26.832</v>
      </c>
      <c r="I298" s="90" t="n">
        <v>0.252</v>
      </c>
    </row>
    <row r="299" customFormat="false" ht="15" hidden="false" customHeight="false" outlineLevel="0" collapsed="false">
      <c r="A299" s="88" t="s">
        <v>182</v>
      </c>
      <c r="B299" s="97" t="n">
        <v>1</v>
      </c>
      <c r="C299" s="88" t="s">
        <v>442</v>
      </c>
      <c r="D299" s="88" t="s">
        <v>430</v>
      </c>
      <c r="E299" s="98" t="n">
        <v>44.72</v>
      </c>
      <c r="F299" s="102" t="n">
        <f aca="false">$E299*Parametros!$C$22</f>
        <v>214.656</v>
      </c>
      <c r="G299" s="90" t="n">
        <v>0.734</v>
      </c>
      <c r="H299" s="102" t="n">
        <f aca="false">$E299*Parametros!$C$23</f>
        <v>26.832</v>
      </c>
      <c r="I299" s="90" t="n">
        <v>0.0946</v>
      </c>
    </row>
    <row r="300" customFormat="false" ht="15" hidden="false" customHeight="false" outlineLevel="0" collapsed="false">
      <c r="A300" s="88" t="s">
        <v>182</v>
      </c>
      <c r="B300" s="97" t="n">
        <v>1</v>
      </c>
      <c r="C300" s="88" t="s">
        <v>442</v>
      </c>
      <c r="D300" s="88" t="s">
        <v>431</v>
      </c>
      <c r="E300" s="98" t="n">
        <v>44.72</v>
      </c>
      <c r="F300" s="102" t="n">
        <f aca="false">$E300*Parametros!$C$22</f>
        <v>214.656</v>
      </c>
      <c r="G300" s="90" t="n">
        <v>1.08</v>
      </c>
      <c r="H300" s="102" t="n">
        <f aca="false">$E300*Parametros!$C$23</f>
        <v>26.832</v>
      </c>
      <c r="I300" s="90" t="n">
        <v>0.0946</v>
      </c>
    </row>
    <row r="301" customFormat="false" ht="15" hidden="false" customHeight="false" outlineLevel="0" collapsed="false">
      <c r="A301" s="88" t="s">
        <v>182</v>
      </c>
      <c r="B301" s="97" t="n">
        <v>1</v>
      </c>
      <c r="C301" s="88" t="s">
        <v>442</v>
      </c>
      <c r="D301" s="88" t="s">
        <v>432</v>
      </c>
      <c r="E301" s="98" t="n">
        <v>44.72</v>
      </c>
      <c r="F301" s="102" t="n">
        <f aca="false">$E301*Parametros!$C$22</f>
        <v>214.656</v>
      </c>
      <c r="G301" s="90"/>
      <c r="H301" s="102" t="n">
        <f aca="false">$E301*Parametros!$C$23</f>
        <v>26.832</v>
      </c>
      <c r="I301" s="90" t="n">
        <v>0.0935</v>
      </c>
    </row>
    <row r="302" customFormat="false" ht="15" hidden="false" customHeight="false" outlineLevel="0" collapsed="false">
      <c r="A302" s="88" t="s">
        <v>182</v>
      </c>
      <c r="B302" s="97" t="n">
        <v>1</v>
      </c>
      <c r="C302" s="88" t="s">
        <v>442</v>
      </c>
      <c r="D302" s="88" t="s">
        <v>433</v>
      </c>
      <c r="E302" s="98" t="n">
        <v>44.72</v>
      </c>
      <c r="F302" s="102" t="n">
        <f aca="false">$E302*Parametros!$C$22</f>
        <v>214.656</v>
      </c>
      <c r="G302" s="90" t="n">
        <v>0.709</v>
      </c>
      <c r="H302" s="102" t="n">
        <f aca="false">$E302*Parametros!$C$23</f>
        <v>26.832</v>
      </c>
      <c r="I302" s="90" t="n">
        <v>0.0959</v>
      </c>
    </row>
    <row r="303" customFormat="false" ht="15" hidden="false" customHeight="false" outlineLevel="0" collapsed="false">
      <c r="A303" s="88" t="s">
        <v>182</v>
      </c>
      <c r="B303" s="97" t="n">
        <v>1</v>
      </c>
      <c r="C303" s="88" t="s">
        <v>442</v>
      </c>
      <c r="D303" s="88" t="s">
        <v>433</v>
      </c>
      <c r="E303" s="98" t="n">
        <v>44.72</v>
      </c>
      <c r="F303" s="102" t="n">
        <f aca="false">$E303*Parametros!$C$22</f>
        <v>214.656</v>
      </c>
      <c r="G303" s="90" t="n">
        <v>0.709</v>
      </c>
      <c r="H303" s="102" t="n">
        <f aca="false">$E303*Parametros!$C$23</f>
        <v>26.832</v>
      </c>
      <c r="I303" s="90" t="n">
        <v>0.0959</v>
      </c>
    </row>
    <row r="304" customFormat="false" ht="15" hidden="false" customHeight="false" outlineLevel="0" collapsed="false">
      <c r="A304" s="88" t="s">
        <v>182</v>
      </c>
      <c r="B304" s="97" t="n">
        <v>1</v>
      </c>
      <c r="C304" s="88" t="s">
        <v>442</v>
      </c>
      <c r="D304" s="88" t="s">
        <v>435</v>
      </c>
      <c r="E304" s="98" t="n">
        <v>44.72</v>
      </c>
      <c r="F304" s="102" t="n">
        <f aca="false">$E304*Parametros!$C$22</f>
        <v>214.656</v>
      </c>
      <c r="G304" s="90" t="n">
        <v>0.93</v>
      </c>
      <c r="H304" s="102" t="n">
        <f aca="false">$E304*Parametros!$C$23</f>
        <v>26.832</v>
      </c>
      <c r="I304" s="90" t="n">
        <v>0.343</v>
      </c>
    </row>
    <row r="305" customFormat="false" ht="15" hidden="false" customHeight="false" outlineLevel="0" collapsed="false">
      <c r="A305" s="88" t="s">
        <v>182</v>
      </c>
      <c r="B305" s="97" t="n">
        <v>1</v>
      </c>
      <c r="C305" s="88" t="s">
        <v>442</v>
      </c>
      <c r="D305" s="88" t="s">
        <v>435</v>
      </c>
      <c r="E305" s="98" t="n">
        <v>44.72</v>
      </c>
      <c r="F305" s="102" t="n">
        <f aca="false">$E305*Parametros!$C$22</f>
        <v>214.656</v>
      </c>
      <c r="G305" s="90" t="n">
        <v>0.93</v>
      </c>
      <c r="H305" s="102" t="n">
        <f aca="false">$E305*Parametros!$C$23</f>
        <v>26.832</v>
      </c>
      <c r="I305" s="90" t="n">
        <v>0.343</v>
      </c>
    </row>
    <row r="306" customFormat="false" ht="15" hidden="false" customHeight="false" outlineLevel="0" collapsed="false">
      <c r="A306" s="88" t="s">
        <v>182</v>
      </c>
      <c r="B306" s="97" t="n">
        <v>1</v>
      </c>
      <c r="C306" s="88" t="s">
        <v>442</v>
      </c>
      <c r="D306" s="88" t="s">
        <v>436</v>
      </c>
      <c r="E306" s="98" t="n">
        <v>44.72</v>
      </c>
      <c r="F306" s="102" t="n">
        <f aca="false">$E306*Parametros!$C$22</f>
        <v>214.656</v>
      </c>
      <c r="G306" s="90" t="n">
        <v>0.752</v>
      </c>
      <c r="H306" s="102" t="n">
        <f aca="false">$E306*Parametros!$C$23</f>
        <v>26.832</v>
      </c>
      <c r="I306" s="90" t="n">
        <v>0.104</v>
      </c>
    </row>
    <row r="307" customFormat="false" ht="15" hidden="false" customHeight="false" outlineLevel="0" collapsed="false">
      <c r="A307" s="88" t="s">
        <v>182</v>
      </c>
      <c r="B307" s="97" t="n">
        <v>1</v>
      </c>
      <c r="C307" s="88" t="s">
        <v>442</v>
      </c>
      <c r="D307" s="88" t="s">
        <v>437</v>
      </c>
      <c r="E307" s="98" t="n">
        <v>44.72</v>
      </c>
      <c r="F307" s="102" t="n">
        <f aca="false">$E307*Parametros!$C$22</f>
        <v>214.656</v>
      </c>
      <c r="G307" s="90"/>
      <c r="H307" s="102" t="n">
        <f aca="false">$E307*Parametros!$C$23</f>
        <v>26.832</v>
      </c>
      <c r="I307" s="90" t="n">
        <v>0.0959</v>
      </c>
    </row>
    <row r="308" customFormat="false" ht="15" hidden="false" customHeight="false" outlineLevel="0" collapsed="false">
      <c r="A308" s="88" t="s">
        <v>182</v>
      </c>
      <c r="B308" s="97" t="n">
        <v>1</v>
      </c>
      <c r="C308" s="88" t="s">
        <v>442</v>
      </c>
      <c r="D308" s="88" t="s">
        <v>438</v>
      </c>
      <c r="E308" s="98" t="n">
        <v>44.72</v>
      </c>
      <c r="F308" s="102" t="n">
        <f aca="false">$E308*Parametros!$C$22</f>
        <v>214.656</v>
      </c>
      <c r="G308" s="90"/>
      <c r="H308" s="102" t="n">
        <f aca="false">$E308*Parametros!$C$23</f>
        <v>26.832</v>
      </c>
      <c r="I308" s="90" t="n">
        <v>0.0662</v>
      </c>
    </row>
    <row r="309" customFormat="false" ht="15" hidden="false" customHeight="false" outlineLevel="0" collapsed="false">
      <c r="A309" s="88" t="s">
        <v>182</v>
      </c>
      <c r="B309" s="97" t="n">
        <v>1</v>
      </c>
      <c r="C309" s="88" t="s">
        <v>442</v>
      </c>
      <c r="D309" s="88" t="s">
        <v>360</v>
      </c>
      <c r="E309" s="98" t="n">
        <v>44.72</v>
      </c>
      <c r="F309" s="102" t="n">
        <f aca="false">$E309*Parametros!$C$22</f>
        <v>214.656</v>
      </c>
      <c r="G309" s="90"/>
      <c r="H309" s="102" t="n">
        <f aca="false">$E309*Parametros!$C$23</f>
        <v>26.832</v>
      </c>
      <c r="I309" s="90" t="n">
        <v>0.0959</v>
      </c>
    </row>
    <row r="310" customFormat="false" ht="15" hidden="false" customHeight="false" outlineLevel="0" collapsed="false">
      <c r="A310" s="88" t="s">
        <v>182</v>
      </c>
      <c r="B310" s="97" t="n">
        <v>1</v>
      </c>
      <c r="C310" s="88" t="s">
        <v>442</v>
      </c>
      <c r="D310" s="88" t="s">
        <v>443</v>
      </c>
      <c r="E310" s="98" t="n">
        <v>44.72</v>
      </c>
      <c r="F310" s="102" t="n">
        <f aca="false">$E310*Parametros!$C$22</f>
        <v>214.656</v>
      </c>
      <c r="G310" s="90"/>
      <c r="H310" s="102" t="n">
        <f aca="false">$E310*Parametros!$C$23</f>
        <v>26.832</v>
      </c>
      <c r="I310" s="90" t="n">
        <v>0.0509</v>
      </c>
    </row>
    <row r="311" customFormat="false" ht="15" hidden="false" customHeight="false" outlineLevel="0" collapsed="false">
      <c r="A311" s="88" t="s">
        <v>182</v>
      </c>
      <c r="B311" s="97" t="n">
        <v>1</v>
      </c>
      <c r="C311" s="88" t="s">
        <v>442</v>
      </c>
      <c r="D311" s="88" t="s">
        <v>441</v>
      </c>
      <c r="E311" s="98" t="n">
        <v>44.72</v>
      </c>
      <c r="F311" s="102" t="n">
        <f aca="false">$E311*Parametros!$C$22</f>
        <v>214.656</v>
      </c>
      <c r="G311" s="90"/>
      <c r="H311" s="102" t="n">
        <f aca="false">$E311*Parametros!$C$23</f>
        <v>26.832</v>
      </c>
      <c r="I311" s="90" t="n">
        <v>0.0662</v>
      </c>
    </row>
    <row r="312" customFormat="false" ht="15" hidden="false" customHeight="false" outlineLevel="0" collapsed="false">
      <c r="A312" s="88" t="s">
        <v>182</v>
      </c>
      <c r="B312" s="97" t="n">
        <v>2</v>
      </c>
      <c r="C312" s="88" t="s">
        <v>444</v>
      </c>
      <c r="D312" s="88" t="s">
        <v>427</v>
      </c>
      <c r="E312" s="98" t="n">
        <v>387.57</v>
      </c>
      <c r="F312" s="102" t="n">
        <f aca="false">$E312*Parametros!$C$22</f>
        <v>1860.336</v>
      </c>
      <c r="G312" s="90"/>
      <c r="H312" s="102" t="n">
        <f aca="false">$E312*Parametros!$C$23</f>
        <v>232.542</v>
      </c>
      <c r="I312" s="90" t="n">
        <v>0.0662</v>
      </c>
    </row>
    <row r="313" customFormat="false" ht="15" hidden="false" customHeight="false" outlineLevel="0" collapsed="false">
      <c r="A313" s="88" t="s">
        <v>182</v>
      </c>
      <c r="B313" s="97" t="n">
        <v>2</v>
      </c>
      <c r="C313" s="88" t="s">
        <v>444</v>
      </c>
      <c r="D313" s="88" t="s">
        <v>428</v>
      </c>
      <c r="E313" s="98" t="n">
        <v>387.57</v>
      </c>
      <c r="F313" s="102" t="n">
        <f aca="false">$E313*Parametros!$C$22</f>
        <v>1860.336</v>
      </c>
      <c r="G313" s="90"/>
      <c r="H313" s="102" t="n">
        <f aca="false">$E313*Parametros!$C$23</f>
        <v>232.542</v>
      </c>
      <c r="I313" s="90" t="n">
        <v>0.0946</v>
      </c>
    </row>
    <row r="314" customFormat="false" ht="15" hidden="false" customHeight="false" outlineLevel="0" collapsed="false">
      <c r="A314" s="88" t="s">
        <v>182</v>
      </c>
      <c r="B314" s="97" t="n">
        <v>2</v>
      </c>
      <c r="C314" s="88" t="s">
        <v>444</v>
      </c>
      <c r="D314" s="88" t="s">
        <v>429</v>
      </c>
      <c r="E314" s="98" t="n">
        <v>387.57</v>
      </c>
      <c r="F314" s="102" t="n">
        <f aca="false">$E314*Parametros!$C$22</f>
        <v>1860.336</v>
      </c>
      <c r="G314" s="90" t="n">
        <v>2.57</v>
      </c>
      <c r="H314" s="102" t="n">
        <f aca="false">$E314*Parametros!$C$23</f>
        <v>232.542</v>
      </c>
      <c r="I314" s="90" t="n">
        <v>0.234</v>
      </c>
    </row>
    <row r="315" customFormat="false" ht="15" hidden="false" customHeight="false" outlineLevel="0" collapsed="false">
      <c r="A315" s="88" t="s">
        <v>182</v>
      </c>
      <c r="B315" s="97" t="n">
        <v>2</v>
      </c>
      <c r="C315" s="88" t="s">
        <v>444</v>
      </c>
      <c r="D315" s="88" t="s">
        <v>430</v>
      </c>
      <c r="E315" s="98" t="n">
        <v>387.57</v>
      </c>
      <c r="F315" s="102" t="n">
        <f aca="false">$E315*Parametros!$C$22</f>
        <v>1860.336</v>
      </c>
      <c r="G315" s="90" t="n">
        <v>0.628</v>
      </c>
      <c r="H315" s="102" t="n">
        <f aca="false">$E315*Parametros!$C$23</f>
        <v>232.542</v>
      </c>
      <c r="I315" s="90" t="n">
        <v>0.0946</v>
      </c>
    </row>
    <row r="316" customFormat="false" ht="15" hidden="false" customHeight="false" outlineLevel="0" collapsed="false">
      <c r="A316" s="88" t="s">
        <v>182</v>
      </c>
      <c r="B316" s="97" t="n">
        <v>2</v>
      </c>
      <c r="C316" s="88" t="s">
        <v>444</v>
      </c>
      <c r="D316" s="88" t="s">
        <v>431</v>
      </c>
      <c r="E316" s="98" t="n">
        <v>387.57</v>
      </c>
      <c r="F316" s="102" t="n">
        <f aca="false">$E316*Parametros!$C$22</f>
        <v>1860.336</v>
      </c>
      <c r="G316" s="90" t="n">
        <v>1.18</v>
      </c>
      <c r="H316" s="102" t="n">
        <f aca="false">$E316*Parametros!$C$23</f>
        <v>232.542</v>
      </c>
      <c r="I316" s="90" t="n">
        <v>0.0946</v>
      </c>
    </row>
    <row r="317" customFormat="false" ht="15" hidden="false" customHeight="false" outlineLevel="0" collapsed="false">
      <c r="A317" s="88" t="s">
        <v>182</v>
      </c>
      <c r="B317" s="97" t="n">
        <v>2</v>
      </c>
      <c r="C317" s="88" t="s">
        <v>444</v>
      </c>
      <c r="D317" s="88" t="s">
        <v>432</v>
      </c>
      <c r="E317" s="98" t="n">
        <v>387.57</v>
      </c>
      <c r="F317" s="102" t="n">
        <f aca="false">$E317*Parametros!$C$22</f>
        <v>1860.336</v>
      </c>
      <c r="G317" s="90"/>
      <c r="H317" s="102" t="n">
        <f aca="false">$E317*Parametros!$C$23</f>
        <v>232.542</v>
      </c>
      <c r="I317" s="90" t="n">
        <v>0.215</v>
      </c>
    </row>
    <row r="318" customFormat="false" ht="15" hidden="false" customHeight="false" outlineLevel="0" collapsed="false">
      <c r="A318" s="88" t="s">
        <v>182</v>
      </c>
      <c r="B318" s="97" t="n">
        <v>2</v>
      </c>
      <c r="C318" s="88" t="s">
        <v>444</v>
      </c>
      <c r="D318" s="88" t="s">
        <v>433</v>
      </c>
      <c r="E318" s="98" t="n">
        <v>387.57</v>
      </c>
      <c r="F318" s="102" t="n">
        <f aca="false">$E318*Parametros!$C$22</f>
        <v>1860.336</v>
      </c>
      <c r="G318" s="90" t="n">
        <v>0.886</v>
      </c>
      <c r="H318" s="102" t="n">
        <f aca="false">$E318*Parametros!$C$23</f>
        <v>232.542</v>
      </c>
      <c r="I318" s="90" t="n">
        <v>0.0959</v>
      </c>
    </row>
    <row r="319" customFormat="false" ht="15" hidden="false" customHeight="false" outlineLevel="0" collapsed="false">
      <c r="A319" s="88" t="s">
        <v>182</v>
      </c>
      <c r="B319" s="97" t="n">
        <v>2</v>
      </c>
      <c r="C319" s="88" t="s">
        <v>444</v>
      </c>
      <c r="D319" s="88" t="s">
        <v>433</v>
      </c>
      <c r="E319" s="98" t="n">
        <v>387.57</v>
      </c>
      <c r="F319" s="102" t="n">
        <f aca="false">$E319*Parametros!$C$22</f>
        <v>1860.336</v>
      </c>
      <c r="G319" s="90" t="n">
        <v>0.886</v>
      </c>
      <c r="H319" s="102" t="n">
        <f aca="false">$E319*Parametros!$C$23</f>
        <v>232.542</v>
      </c>
      <c r="I319" s="90" t="n">
        <v>0.0959</v>
      </c>
    </row>
    <row r="320" customFormat="false" ht="15" hidden="false" customHeight="false" outlineLevel="0" collapsed="false">
      <c r="A320" s="88" t="s">
        <v>182</v>
      </c>
      <c r="B320" s="97" t="n">
        <v>2</v>
      </c>
      <c r="C320" s="88" t="s">
        <v>444</v>
      </c>
      <c r="D320" s="88" t="s">
        <v>435</v>
      </c>
      <c r="E320" s="98" t="n">
        <v>387.57</v>
      </c>
      <c r="F320" s="102" t="n">
        <f aca="false">$E320*Parametros!$C$22</f>
        <v>1860.336</v>
      </c>
      <c r="G320" s="90" t="n">
        <v>0.878</v>
      </c>
      <c r="H320" s="102" t="n">
        <f aca="false">$E320*Parametros!$C$23</f>
        <v>232.542</v>
      </c>
      <c r="I320" s="90" t="n">
        <v>0.0959</v>
      </c>
    </row>
    <row r="321" customFormat="false" ht="15" hidden="false" customHeight="false" outlineLevel="0" collapsed="false">
      <c r="A321" s="88" t="s">
        <v>182</v>
      </c>
      <c r="B321" s="97" t="n">
        <v>2</v>
      </c>
      <c r="C321" s="88" t="s">
        <v>444</v>
      </c>
      <c r="D321" s="88" t="s">
        <v>435</v>
      </c>
      <c r="E321" s="98" t="n">
        <v>387.57</v>
      </c>
      <c r="F321" s="102" t="n">
        <f aca="false">$E321*Parametros!$C$22</f>
        <v>1860.336</v>
      </c>
      <c r="G321" s="90" t="n">
        <v>0.878</v>
      </c>
      <c r="H321" s="102" t="n">
        <f aca="false">$E321*Parametros!$C$23</f>
        <v>232.542</v>
      </c>
      <c r="I321" s="90" t="n">
        <v>0.0959</v>
      </c>
    </row>
    <row r="322" customFormat="false" ht="15" hidden="false" customHeight="false" outlineLevel="0" collapsed="false">
      <c r="A322" s="88" t="s">
        <v>182</v>
      </c>
      <c r="B322" s="97" t="n">
        <v>2</v>
      </c>
      <c r="C322" s="88" t="s">
        <v>444</v>
      </c>
      <c r="D322" s="88" t="s">
        <v>436</v>
      </c>
      <c r="E322" s="98" t="n">
        <v>387.57</v>
      </c>
      <c r="F322" s="102" t="n">
        <f aca="false">$E322*Parametros!$C$22</f>
        <v>1860.336</v>
      </c>
      <c r="G322" s="90" t="n">
        <v>1.42</v>
      </c>
      <c r="H322" s="102" t="n">
        <f aca="false">$E322*Parametros!$C$23</f>
        <v>232.542</v>
      </c>
      <c r="I322" s="90" t="n">
        <v>0.298</v>
      </c>
    </row>
    <row r="323" customFormat="false" ht="15" hidden="false" customHeight="false" outlineLevel="0" collapsed="false">
      <c r="A323" s="88" t="s">
        <v>182</v>
      </c>
      <c r="B323" s="97" t="n">
        <v>2</v>
      </c>
      <c r="C323" s="88" t="s">
        <v>444</v>
      </c>
      <c r="D323" s="88" t="s">
        <v>437</v>
      </c>
      <c r="E323" s="98" t="n">
        <v>387.57</v>
      </c>
      <c r="F323" s="102" t="n">
        <f aca="false">$E323*Parametros!$C$22</f>
        <v>1860.336</v>
      </c>
      <c r="G323" s="90"/>
      <c r="H323" s="102" t="n">
        <f aca="false">$E323*Parametros!$C$23</f>
        <v>232.542</v>
      </c>
      <c r="I323" s="90" t="n">
        <v>0.21</v>
      </c>
    </row>
    <row r="324" customFormat="false" ht="15" hidden="false" customHeight="false" outlineLevel="0" collapsed="false">
      <c r="A324" s="88" t="s">
        <v>182</v>
      </c>
      <c r="B324" s="97" t="n">
        <v>2</v>
      </c>
      <c r="C324" s="88" t="s">
        <v>444</v>
      </c>
      <c r="D324" s="88" t="s">
        <v>438</v>
      </c>
      <c r="E324" s="98" t="n">
        <v>387.57</v>
      </c>
      <c r="F324" s="102" t="n">
        <f aca="false">$E324*Parametros!$C$22</f>
        <v>1860.336</v>
      </c>
      <c r="G324" s="90"/>
      <c r="H324" s="102" t="n">
        <f aca="false">$E324*Parametros!$C$23</f>
        <v>232.542</v>
      </c>
      <c r="I324" s="90" t="n">
        <v>0.091</v>
      </c>
    </row>
    <row r="325" customFormat="false" ht="15" hidden="false" customHeight="false" outlineLevel="0" collapsed="false">
      <c r="A325" s="88" t="s">
        <v>182</v>
      </c>
      <c r="B325" s="97" t="n">
        <v>2</v>
      </c>
      <c r="C325" s="88" t="s">
        <v>444</v>
      </c>
      <c r="D325" s="88" t="s">
        <v>360</v>
      </c>
      <c r="E325" s="98" t="n">
        <v>387.57</v>
      </c>
      <c r="F325" s="102" t="n">
        <f aca="false">$E325*Parametros!$C$22</f>
        <v>1860.336</v>
      </c>
      <c r="G325" s="90"/>
      <c r="H325" s="102" t="n">
        <f aca="false">$E325*Parametros!$C$23</f>
        <v>232.542</v>
      </c>
      <c r="I325" s="90" t="n">
        <v>0.0959</v>
      </c>
    </row>
    <row r="326" customFormat="false" ht="15" hidden="false" customHeight="false" outlineLevel="0" collapsed="false">
      <c r="A326" s="88" t="s">
        <v>182</v>
      </c>
      <c r="B326" s="97" t="n">
        <v>2</v>
      </c>
      <c r="C326" s="88" t="s">
        <v>444</v>
      </c>
      <c r="D326" s="88" t="s">
        <v>443</v>
      </c>
      <c r="E326" s="98" t="n">
        <v>387.57</v>
      </c>
      <c r="F326" s="102" t="n">
        <f aca="false">$E326*Parametros!$C$22</f>
        <v>1860.336</v>
      </c>
      <c r="G326" s="90"/>
      <c r="H326" s="102" t="n">
        <f aca="false">$E326*Parametros!$C$23</f>
        <v>232.542</v>
      </c>
      <c r="I326" s="90" t="n">
        <v>0.055</v>
      </c>
    </row>
    <row r="327" customFormat="false" ht="15" hidden="false" customHeight="false" outlineLevel="0" collapsed="false">
      <c r="A327" s="88" t="s">
        <v>182</v>
      </c>
      <c r="B327" s="97" t="n">
        <v>2</v>
      </c>
      <c r="C327" s="88" t="s">
        <v>444</v>
      </c>
      <c r="D327" s="88" t="s">
        <v>441</v>
      </c>
      <c r="E327" s="98" t="n">
        <v>387.57</v>
      </c>
      <c r="F327" s="102" t="n">
        <f aca="false">$E327*Parametros!$C$22</f>
        <v>1860.336</v>
      </c>
      <c r="G327" s="90"/>
      <c r="H327" s="102" t="n">
        <f aca="false">$E327*Parametros!$C$23</f>
        <v>232.542</v>
      </c>
      <c r="I327" s="90" t="n">
        <v>0.0662</v>
      </c>
    </row>
    <row r="328" customFormat="false" ht="15" hidden="false" customHeight="false" outlineLevel="0" collapsed="false">
      <c r="A328" s="88" t="s">
        <v>182</v>
      </c>
      <c r="B328" s="97" t="n">
        <v>3</v>
      </c>
      <c r="C328" s="88" t="s">
        <v>445</v>
      </c>
      <c r="D328" s="88" t="s">
        <v>427</v>
      </c>
      <c r="E328" s="98" t="n">
        <v>2526.97</v>
      </c>
      <c r="F328" s="102" t="n">
        <f aca="false">$E328*Parametros!$C$22</f>
        <v>12129.456</v>
      </c>
      <c r="G328" s="90"/>
      <c r="H328" s="102" t="n">
        <f aca="false">$E328*Parametros!$C$23</f>
        <v>1516.182</v>
      </c>
      <c r="I328" s="90" t="n">
        <v>0.22</v>
      </c>
    </row>
    <row r="329" customFormat="false" ht="15" hidden="false" customHeight="false" outlineLevel="0" collapsed="false">
      <c r="A329" s="88" t="s">
        <v>182</v>
      </c>
      <c r="B329" s="97" t="n">
        <v>3</v>
      </c>
      <c r="C329" s="88" t="s">
        <v>445</v>
      </c>
      <c r="D329" s="88" t="s">
        <v>428</v>
      </c>
      <c r="E329" s="98" t="n">
        <v>2526.97</v>
      </c>
      <c r="F329" s="102" t="n">
        <f aca="false">$E329*Parametros!$C$22</f>
        <v>12129.456</v>
      </c>
      <c r="G329" s="90"/>
      <c r="H329" s="102" t="n">
        <f aca="false">$E329*Parametros!$C$23</f>
        <v>1516.182</v>
      </c>
      <c r="I329" s="90" t="n">
        <v>0.314</v>
      </c>
    </row>
    <row r="330" customFormat="false" ht="15" hidden="false" customHeight="false" outlineLevel="0" collapsed="false">
      <c r="A330" s="88" t="s">
        <v>182</v>
      </c>
      <c r="B330" s="97" t="n">
        <v>3</v>
      </c>
      <c r="C330" s="88" t="s">
        <v>445</v>
      </c>
      <c r="D330" s="88" t="s">
        <v>429</v>
      </c>
      <c r="E330" s="98" t="n">
        <v>2526.97</v>
      </c>
      <c r="F330" s="102" t="n">
        <f aca="false">$E330*Parametros!$C$22</f>
        <v>12129.456</v>
      </c>
      <c r="G330" s="90" t="n">
        <v>3.42</v>
      </c>
      <c r="H330" s="102" t="n">
        <f aca="false">$E330*Parametros!$C$23</f>
        <v>1516.182</v>
      </c>
      <c r="I330" s="90" t="n">
        <v>0.0946</v>
      </c>
    </row>
    <row r="331" customFormat="false" ht="15" hidden="false" customHeight="false" outlineLevel="0" collapsed="false">
      <c r="A331" s="88" t="s">
        <v>182</v>
      </c>
      <c r="B331" s="97" t="n">
        <v>3</v>
      </c>
      <c r="C331" s="88" t="s">
        <v>445</v>
      </c>
      <c r="D331" s="88" t="s">
        <v>430</v>
      </c>
      <c r="E331" s="98" t="n">
        <v>2526.97</v>
      </c>
      <c r="F331" s="102" t="n">
        <f aca="false">$E331*Parametros!$C$22</f>
        <v>12129.456</v>
      </c>
      <c r="G331" s="90" t="n">
        <v>1.23</v>
      </c>
      <c r="H331" s="102" t="n">
        <f aca="false">$E331*Parametros!$C$23</f>
        <v>1516.182</v>
      </c>
      <c r="I331" s="90" t="n">
        <v>0.18</v>
      </c>
    </row>
    <row r="332" customFormat="false" ht="15" hidden="false" customHeight="false" outlineLevel="0" collapsed="false">
      <c r="A332" s="88" t="s">
        <v>182</v>
      </c>
      <c r="B332" s="97" t="n">
        <v>3</v>
      </c>
      <c r="C332" s="88" t="s">
        <v>445</v>
      </c>
      <c r="D332" s="88" t="s">
        <v>431</v>
      </c>
      <c r="E332" s="98" t="n">
        <v>2526.97</v>
      </c>
      <c r="F332" s="102" t="n">
        <f aca="false">$E332*Parametros!$C$22</f>
        <v>12129.456</v>
      </c>
      <c r="G332" s="90" t="n">
        <v>2.78</v>
      </c>
      <c r="H332" s="102" t="n">
        <f aca="false">$E332*Parametros!$C$23</f>
        <v>1516.182</v>
      </c>
      <c r="I332" s="90" t="n">
        <v>0.35</v>
      </c>
    </row>
    <row r="333" customFormat="false" ht="15" hidden="false" customHeight="false" outlineLevel="0" collapsed="false">
      <c r="A333" s="88" t="s">
        <v>182</v>
      </c>
      <c r="B333" s="97" t="n">
        <v>3</v>
      </c>
      <c r="C333" s="88" t="s">
        <v>445</v>
      </c>
      <c r="D333" s="88" t="s">
        <v>432</v>
      </c>
      <c r="E333" s="98" t="n">
        <v>2526.97</v>
      </c>
      <c r="F333" s="102" t="n">
        <f aca="false">$E333*Parametros!$C$22</f>
        <v>12129.456</v>
      </c>
      <c r="G333" s="90"/>
      <c r="H333" s="102" t="n">
        <f aca="false">$E333*Parametros!$C$23</f>
        <v>1516.182</v>
      </c>
      <c r="I333" s="90" t="n">
        <v>0.401</v>
      </c>
    </row>
    <row r="334" customFormat="false" ht="15" hidden="false" customHeight="false" outlineLevel="0" collapsed="false">
      <c r="A334" s="88" t="s">
        <v>182</v>
      </c>
      <c r="B334" s="97" t="n">
        <v>3</v>
      </c>
      <c r="C334" s="88" t="s">
        <v>445</v>
      </c>
      <c r="D334" s="88" t="s">
        <v>433</v>
      </c>
      <c r="E334" s="98" t="n">
        <v>2526.97</v>
      </c>
      <c r="F334" s="102" t="n">
        <f aca="false">$E334*Parametros!$C$22</f>
        <v>12129.456</v>
      </c>
      <c r="G334" s="90" t="n">
        <v>3.01</v>
      </c>
      <c r="H334" s="102" t="n">
        <f aca="false">$E334*Parametros!$C$23</f>
        <v>1516.182</v>
      </c>
      <c r="I334" s="90" t="n">
        <v>0.384</v>
      </c>
    </row>
    <row r="335" customFormat="false" ht="15" hidden="false" customHeight="false" outlineLevel="0" collapsed="false">
      <c r="A335" s="88" t="s">
        <v>182</v>
      </c>
      <c r="B335" s="97" t="n">
        <v>3</v>
      </c>
      <c r="C335" s="88" t="s">
        <v>445</v>
      </c>
      <c r="D335" s="88" t="s">
        <v>433</v>
      </c>
      <c r="E335" s="98" t="n">
        <v>2526.97</v>
      </c>
      <c r="F335" s="102" t="n">
        <f aca="false">$E335*Parametros!$C$22</f>
        <v>12129.456</v>
      </c>
      <c r="G335" s="90" t="n">
        <v>3.01</v>
      </c>
      <c r="H335" s="102" t="n">
        <f aca="false">$E335*Parametros!$C$23</f>
        <v>1516.182</v>
      </c>
      <c r="I335" s="90" t="n">
        <v>0.384</v>
      </c>
    </row>
    <row r="336" customFormat="false" ht="15" hidden="false" customHeight="false" outlineLevel="0" collapsed="false">
      <c r="A336" s="88" t="s">
        <v>182</v>
      </c>
      <c r="B336" s="97" t="n">
        <v>3</v>
      </c>
      <c r="C336" s="88" t="s">
        <v>445</v>
      </c>
      <c r="D336" s="88" t="s">
        <v>435</v>
      </c>
      <c r="E336" s="98" t="n">
        <v>2526.97</v>
      </c>
      <c r="F336" s="102" t="n">
        <f aca="false">$E336*Parametros!$C$22</f>
        <v>12129.456</v>
      </c>
      <c r="G336" s="90" t="n">
        <v>1.79</v>
      </c>
      <c r="H336" s="102" t="n">
        <f aca="false">$E336*Parametros!$C$23</f>
        <v>1516.182</v>
      </c>
      <c r="I336" s="90" t="n">
        <v>0.156</v>
      </c>
    </row>
    <row r="337" customFormat="false" ht="15" hidden="false" customHeight="false" outlineLevel="0" collapsed="false">
      <c r="A337" s="88" t="s">
        <v>182</v>
      </c>
      <c r="B337" s="97" t="n">
        <v>3</v>
      </c>
      <c r="C337" s="88" t="s">
        <v>445</v>
      </c>
      <c r="D337" s="88" t="s">
        <v>435</v>
      </c>
      <c r="E337" s="98" t="n">
        <v>2526.97</v>
      </c>
      <c r="F337" s="102" t="n">
        <f aca="false">$E337*Parametros!$C$22</f>
        <v>12129.456</v>
      </c>
      <c r="G337" s="90" t="n">
        <v>1.79</v>
      </c>
      <c r="H337" s="102" t="n">
        <f aca="false">$E337*Parametros!$C$23</f>
        <v>1516.182</v>
      </c>
      <c r="I337" s="90" t="n">
        <v>0.156</v>
      </c>
    </row>
    <row r="338" customFormat="false" ht="15" hidden="false" customHeight="false" outlineLevel="0" collapsed="false">
      <c r="A338" s="88" t="s">
        <v>182</v>
      </c>
      <c r="B338" s="97" t="n">
        <v>3</v>
      </c>
      <c r="C338" s="88" t="s">
        <v>445</v>
      </c>
      <c r="D338" s="88" t="s">
        <v>436</v>
      </c>
      <c r="E338" s="98" t="n">
        <v>2526.97</v>
      </c>
      <c r="F338" s="102" t="n">
        <f aca="false">$E338*Parametros!$C$22</f>
        <v>12129.456</v>
      </c>
      <c r="G338" s="90" t="n">
        <v>2.68</v>
      </c>
      <c r="H338" s="102" t="n">
        <f aca="false">$E338*Parametros!$C$23</f>
        <v>1516.182</v>
      </c>
      <c r="I338" s="90" t="n">
        <v>0.435</v>
      </c>
    </row>
    <row r="339" customFormat="false" ht="15" hidden="false" customHeight="false" outlineLevel="0" collapsed="false">
      <c r="A339" s="88" t="s">
        <v>182</v>
      </c>
      <c r="B339" s="97" t="n">
        <v>3</v>
      </c>
      <c r="C339" s="88" t="s">
        <v>445</v>
      </c>
      <c r="D339" s="88" t="s">
        <v>437</v>
      </c>
      <c r="E339" s="98" t="n">
        <v>2526.97</v>
      </c>
      <c r="F339" s="102" t="n">
        <f aca="false">$E339*Parametros!$C$22</f>
        <v>12129.456</v>
      </c>
      <c r="G339" s="90"/>
      <c r="H339" s="102" t="n">
        <f aca="false">$E339*Parametros!$C$23</f>
        <v>1516.182</v>
      </c>
      <c r="I339" s="90" t="n">
        <v>0.419</v>
      </c>
    </row>
    <row r="340" customFormat="false" ht="15" hidden="false" customHeight="false" outlineLevel="0" collapsed="false">
      <c r="A340" s="88" t="s">
        <v>182</v>
      </c>
      <c r="B340" s="97" t="n">
        <v>3</v>
      </c>
      <c r="C340" s="88" t="s">
        <v>445</v>
      </c>
      <c r="D340" s="88" t="s">
        <v>438</v>
      </c>
      <c r="E340" s="98" t="n">
        <v>2526.97</v>
      </c>
      <c r="F340" s="102" t="n">
        <f aca="false">$E340*Parametros!$C$22</f>
        <v>12129.456</v>
      </c>
      <c r="G340" s="90"/>
      <c r="H340" s="102" t="n">
        <f aca="false">$E340*Parametros!$C$23</f>
        <v>1516.182</v>
      </c>
      <c r="I340" s="90" t="n">
        <v>0.295</v>
      </c>
    </row>
    <row r="341" customFormat="false" ht="15" hidden="false" customHeight="false" outlineLevel="0" collapsed="false">
      <c r="A341" s="88" t="s">
        <v>182</v>
      </c>
      <c r="B341" s="97" t="n">
        <v>3</v>
      </c>
      <c r="C341" s="88" t="s">
        <v>445</v>
      </c>
      <c r="D341" s="88" t="s">
        <v>360</v>
      </c>
      <c r="E341" s="98" t="n">
        <v>2526.97</v>
      </c>
      <c r="F341" s="102" t="n">
        <f aca="false">$E341*Parametros!$C$22</f>
        <v>12129.456</v>
      </c>
      <c r="G341" s="90"/>
      <c r="H341" s="102" t="n">
        <f aca="false">$E341*Parametros!$C$23</f>
        <v>1516.182</v>
      </c>
      <c r="I341" s="90" t="n">
        <v>0.0959</v>
      </c>
    </row>
    <row r="342" customFormat="false" ht="15" hidden="false" customHeight="false" outlineLevel="0" collapsed="false">
      <c r="A342" s="88" t="s">
        <v>182</v>
      </c>
      <c r="B342" s="97" t="n">
        <v>3</v>
      </c>
      <c r="C342" s="88" t="s">
        <v>445</v>
      </c>
      <c r="D342" s="88" t="s">
        <v>443</v>
      </c>
      <c r="E342" s="98" t="n">
        <v>2526.97</v>
      </c>
      <c r="F342" s="102" t="n">
        <f aca="false">$E342*Parametros!$C$22</f>
        <v>12129.456</v>
      </c>
      <c r="G342" s="90"/>
      <c r="H342" s="102" t="n">
        <f aca="false">$E342*Parametros!$C$23</f>
        <v>1516.182</v>
      </c>
      <c r="I342" s="90" t="n">
        <v>0.099</v>
      </c>
    </row>
    <row r="343" customFormat="false" ht="15" hidden="false" customHeight="false" outlineLevel="0" collapsed="false">
      <c r="A343" s="88" t="s">
        <v>182</v>
      </c>
      <c r="B343" s="97" t="n">
        <v>3</v>
      </c>
      <c r="C343" s="88" t="s">
        <v>445</v>
      </c>
      <c r="D343" s="88" t="s">
        <v>441</v>
      </c>
      <c r="E343" s="98" t="n">
        <v>2526.97</v>
      </c>
      <c r="F343" s="102" t="n">
        <f aca="false">$E343*Parametros!$C$22</f>
        <v>12129.456</v>
      </c>
      <c r="G343" s="90"/>
      <c r="H343" s="102" t="n">
        <f aca="false">$E343*Parametros!$C$23</f>
        <v>1516.182</v>
      </c>
      <c r="I343" s="90" t="n">
        <v>0.334</v>
      </c>
    </row>
    <row r="344" customFormat="false" ht="15" hidden="false" customHeight="false" outlineLevel="0" collapsed="false">
      <c r="A344" s="88" t="s">
        <v>190</v>
      </c>
      <c r="B344" s="97" t="n">
        <v>1</v>
      </c>
      <c r="C344" s="88" t="s">
        <v>194</v>
      </c>
      <c r="D344" s="88" t="s">
        <v>412</v>
      </c>
      <c r="E344" s="98" t="n">
        <v>0</v>
      </c>
      <c r="F344" s="102" t="n">
        <f aca="false">$E344*Parametros!$C$22</f>
        <v>0</v>
      </c>
      <c r="G344" s="90"/>
      <c r="H344" s="102" t="n">
        <f aca="false">$E344*Parametros!$C$23</f>
        <v>0</v>
      </c>
      <c r="I344" s="90" t="n">
        <v>0.0959</v>
      </c>
    </row>
    <row r="345" customFormat="false" ht="15" hidden="false" customHeight="false" outlineLevel="0" collapsed="false">
      <c r="A345" s="88" t="s">
        <v>190</v>
      </c>
      <c r="B345" s="97" t="n">
        <v>1</v>
      </c>
      <c r="C345" s="88" t="s">
        <v>194</v>
      </c>
      <c r="D345" s="88" t="s">
        <v>446</v>
      </c>
      <c r="E345" s="98" t="n">
        <v>0</v>
      </c>
      <c r="F345" s="102" t="n">
        <f aca="false">$E345*Parametros!$C$22</f>
        <v>0</v>
      </c>
      <c r="G345" s="90"/>
      <c r="H345" s="102" t="n">
        <f aca="false">$E345*Parametros!$C$23</f>
        <v>0</v>
      </c>
      <c r="I345" s="90" t="n">
        <v>0.0509</v>
      </c>
    </row>
    <row r="346" customFormat="false" ht="15" hidden="false" customHeight="false" outlineLevel="0" collapsed="false">
      <c r="A346" s="88" t="s">
        <v>190</v>
      </c>
      <c r="B346" s="97" t="n">
        <v>1</v>
      </c>
      <c r="C346" s="88" t="s">
        <v>194</v>
      </c>
      <c r="D346" s="88" t="s">
        <v>447</v>
      </c>
      <c r="E346" s="98" t="n">
        <v>0</v>
      </c>
      <c r="F346" s="102" t="n">
        <f aca="false">$E346*Parametros!$C$22</f>
        <v>0</v>
      </c>
      <c r="G346" s="90"/>
      <c r="H346" s="102" t="n">
        <f aca="false">$E346*Parametros!$C$23</f>
        <v>0</v>
      </c>
      <c r="I346" s="90" t="n">
        <v>0.0662</v>
      </c>
    </row>
    <row r="347" customFormat="false" ht="15" hidden="false" customHeight="false" outlineLevel="0" collapsed="false">
      <c r="A347" s="88" t="s">
        <v>190</v>
      </c>
      <c r="B347" s="97" t="n">
        <v>1</v>
      </c>
      <c r="C347" s="88" t="s">
        <v>194</v>
      </c>
      <c r="D347" s="88" t="s">
        <v>448</v>
      </c>
      <c r="E347" s="98" t="n">
        <v>0</v>
      </c>
      <c r="F347" s="102" t="n">
        <f aca="false">$E347*Parametros!$C$22</f>
        <v>0</v>
      </c>
      <c r="G347" s="90"/>
      <c r="H347" s="102" t="n">
        <f aca="false">$E347*Parametros!$C$23</f>
        <v>0</v>
      </c>
      <c r="I347" s="90" t="n">
        <v>0.0662</v>
      </c>
    </row>
    <row r="348" customFormat="false" ht="15" hidden="false" customHeight="false" outlineLevel="0" collapsed="false">
      <c r="A348" s="88" t="s">
        <v>190</v>
      </c>
      <c r="B348" s="97" t="n">
        <v>1</v>
      </c>
      <c r="C348" s="88" t="s">
        <v>194</v>
      </c>
      <c r="D348" s="88" t="s">
        <v>415</v>
      </c>
      <c r="E348" s="98" t="n">
        <v>0</v>
      </c>
      <c r="F348" s="102" t="n">
        <f aca="false">$E348*Parametros!$C$22</f>
        <v>0</v>
      </c>
      <c r="G348" s="90"/>
      <c r="H348" s="102" t="n">
        <f aca="false">$E348*Parametros!$C$23</f>
        <v>0</v>
      </c>
      <c r="I348" s="90" t="n">
        <v>0.0662</v>
      </c>
    </row>
    <row r="349" customFormat="false" ht="15" hidden="false" customHeight="false" outlineLevel="0" collapsed="false">
      <c r="A349" s="88" t="s">
        <v>190</v>
      </c>
      <c r="B349" s="97" t="n">
        <v>1</v>
      </c>
      <c r="C349" s="88" t="s">
        <v>194</v>
      </c>
      <c r="D349" s="88" t="s">
        <v>449</v>
      </c>
      <c r="E349" s="98" t="n">
        <v>0</v>
      </c>
      <c r="F349" s="102" t="n">
        <f aca="false">$E349*Parametros!$C$22</f>
        <v>0</v>
      </c>
      <c r="G349" s="90" t="n">
        <v>0.854</v>
      </c>
      <c r="H349" s="102" t="n">
        <f aca="false">$E349*Parametros!$C$23</f>
        <v>0</v>
      </c>
      <c r="I349" s="90" t="n">
        <v>0.0959</v>
      </c>
    </row>
    <row r="350" customFormat="false" ht="15" hidden="false" customHeight="false" outlineLevel="0" collapsed="false">
      <c r="A350" s="88" t="s">
        <v>190</v>
      </c>
      <c r="B350" s="97" t="n">
        <v>1</v>
      </c>
      <c r="C350" s="88" t="s">
        <v>194</v>
      </c>
      <c r="D350" s="88" t="s">
        <v>450</v>
      </c>
      <c r="E350" s="98" t="n">
        <v>0</v>
      </c>
      <c r="F350" s="102" t="n">
        <f aca="false">$E350*Parametros!$C$22</f>
        <v>0</v>
      </c>
      <c r="G350" s="90" t="n">
        <v>0.735</v>
      </c>
      <c r="H350" s="102" t="n">
        <f aca="false">$E350*Parametros!$C$23</f>
        <v>0</v>
      </c>
      <c r="I350" s="90" t="n">
        <v>0.0946</v>
      </c>
    </row>
    <row r="351" customFormat="false" ht="15" hidden="false" customHeight="false" outlineLevel="0" collapsed="false">
      <c r="A351" s="88" t="s">
        <v>190</v>
      </c>
      <c r="B351" s="97" t="n">
        <v>1</v>
      </c>
      <c r="C351" s="88" t="s">
        <v>194</v>
      </c>
      <c r="D351" s="88" t="s">
        <v>451</v>
      </c>
      <c r="E351" s="98" t="n">
        <v>0</v>
      </c>
      <c r="F351" s="102" t="n">
        <f aca="false">$E351*Parametros!$C$22</f>
        <v>0</v>
      </c>
      <c r="G351" s="90" t="n">
        <v>0.9</v>
      </c>
      <c r="H351" s="102" t="n">
        <f aca="false">$E351*Parametros!$C$23</f>
        <v>0</v>
      </c>
      <c r="I351" s="90" t="n">
        <v>0.0946</v>
      </c>
    </row>
    <row r="352" customFormat="false" ht="15" hidden="false" customHeight="false" outlineLevel="0" collapsed="false">
      <c r="A352" s="88" t="s">
        <v>190</v>
      </c>
      <c r="B352" s="97" t="n">
        <v>1</v>
      </c>
      <c r="C352" s="88" t="s">
        <v>194</v>
      </c>
      <c r="D352" s="88" t="s">
        <v>452</v>
      </c>
      <c r="E352" s="98" t="n">
        <v>0</v>
      </c>
      <c r="F352" s="102" t="n">
        <f aca="false">$E352*Parametros!$C$22</f>
        <v>0</v>
      </c>
      <c r="G352" s="90"/>
      <c r="H352" s="102" t="n">
        <f aca="false">$E352*Parametros!$C$23</f>
        <v>0</v>
      </c>
      <c r="I352" s="90" t="n">
        <v>0.0935</v>
      </c>
    </row>
    <row r="353" customFormat="false" ht="15" hidden="false" customHeight="false" outlineLevel="0" collapsed="false">
      <c r="A353" s="88" t="s">
        <v>190</v>
      </c>
      <c r="B353" s="97" t="n">
        <v>1</v>
      </c>
      <c r="C353" s="88" t="s">
        <v>194</v>
      </c>
      <c r="D353" s="88" t="s">
        <v>416</v>
      </c>
      <c r="E353" s="98" t="n">
        <v>0</v>
      </c>
      <c r="F353" s="102" t="n">
        <f aca="false">$E353*Parametros!$C$22</f>
        <v>0</v>
      </c>
      <c r="G353" s="90"/>
      <c r="H353" s="102" t="n">
        <f aca="false">$E353*Parametros!$C$23</f>
        <v>0</v>
      </c>
      <c r="I353" s="90" t="n">
        <v>0.0935</v>
      </c>
    </row>
    <row r="354" customFormat="false" ht="15" hidden="false" customHeight="false" outlineLevel="0" collapsed="false">
      <c r="A354" s="88" t="s">
        <v>190</v>
      </c>
      <c r="B354" s="97" t="n">
        <v>1</v>
      </c>
      <c r="C354" s="88" t="s">
        <v>194</v>
      </c>
      <c r="D354" s="88" t="s">
        <v>420</v>
      </c>
      <c r="E354" s="98" t="n">
        <v>0</v>
      </c>
      <c r="F354" s="102" t="n">
        <f aca="false">$E354*Parametros!$C$22</f>
        <v>0</v>
      </c>
      <c r="G354" s="90"/>
      <c r="H354" s="102" t="n">
        <f aca="false">$E354*Parametros!$C$23</f>
        <v>0</v>
      </c>
      <c r="I354" s="90" t="n">
        <v>0.0662</v>
      </c>
    </row>
    <row r="355" customFormat="false" ht="15" hidden="false" customHeight="false" outlineLevel="0" collapsed="false">
      <c r="A355" s="88" t="s">
        <v>190</v>
      </c>
      <c r="B355" s="97" t="n">
        <v>1</v>
      </c>
      <c r="C355" s="88" t="s">
        <v>194</v>
      </c>
      <c r="D355" s="88" t="s">
        <v>453</v>
      </c>
      <c r="E355" s="98" t="n">
        <v>0</v>
      </c>
      <c r="F355" s="102" t="n">
        <f aca="false">$E355*Parametros!$C$22</f>
        <v>0</v>
      </c>
      <c r="G355" s="90" t="n">
        <v>0.366</v>
      </c>
      <c r="H355" s="102" t="n">
        <f aca="false">$E355*Parametros!$C$23</f>
        <v>0</v>
      </c>
      <c r="I355" s="90" t="n">
        <v>0.0662</v>
      </c>
    </row>
    <row r="356" customFormat="false" ht="15" hidden="false" customHeight="false" outlineLevel="0" collapsed="false">
      <c r="A356" s="88" t="s">
        <v>190</v>
      </c>
      <c r="B356" s="97" t="n">
        <v>1</v>
      </c>
      <c r="C356" s="88" t="s">
        <v>194</v>
      </c>
      <c r="D356" s="88" t="s">
        <v>454</v>
      </c>
      <c r="E356" s="98" t="n">
        <v>0</v>
      </c>
      <c r="F356" s="102" t="n">
        <f aca="false">$E356*Parametros!$C$22</f>
        <v>0</v>
      </c>
      <c r="G356" s="90" t="n">
        <v>0.812</v>
      </c>
      <c r="H356" s="102" t="n">
        <f aca="false">$E356*Parametros!$C$23</f>
        <v>0</v>
      </c>
      <c r="I356" s="90" t="n">
        <v>0.0946</v>
      </c>
    </row>
    <row r="357" customFormat="false" ht="15" hidden="false" customHeight="false" outlineLevel="0" collapsed="false">
      <c r="A357" s="88" t="s">
        <v>190</v>
      </c>
      <c r="B357" s="97" t="n">
        <v>1</v>
      </c>
      <c r="C357" s="88" t="s">
        <v>194</v>
      </c>
      <c r="D357" s="88" t="s">
        <v>455</v>
      </c>
      <c r="E357" s="98" t="n">
        <v>0</v>
      </c>
      <c r="F357" s="102" t="n">
        <f aca="false">$E357*Parametros!$C$22</f>
        <v>0</v>
      </c>
      <c r="G357" s="90"/>
      <c r="H357" s="102" t="n">
        <f aca="false">$E357*Parametros!$C$23</f>
        <v>0</v>
      </c>
      <c r="I357" s="90" t="n">
        <v>0.0946</v>
      </c>
    </row>
    <row r="358" customFormat="false" ht="15" hidden="false" customHeight="false" outlineLevel="0" collapsed="false">
      <c r="A358" s="88" t="s">
        <v>190</v>
      </c>
      <c r="B358" s="97" t="n">
        <v>1</v>
      </c>
      <c r="C358" s="88" t="s">
        <v>194</v>
      </c>
      <c r="D358" s="88" t="s">
        <v>456</v>
      </c>
      <c r="E358" s="98" t="n">
        <v>0</v>
      </c>
      <c r="F358" s="102" t="n">
        <f aca="false">$E358*Parametros!$C$22</f>
        <v>0</v>
      </c>
      <c r="G358" s="90"/>
      <c r="H358" s="102" t="n">
        <f aca="false">$E358*Parametros!$C$23</f>
        <v>0</v>
      </c>
      <c r="I358" s="90" t="n">
        <v>0.076</v>
      </c>
    </row>
    <row r="359" customFormat="false" ht="15" hidden="false" customHeight="false" outlineLevel="0" collapsed="false">
      <c r="A359" s="88" t="s">
        <v>190</v>
      </c>
      <c r="B359" s="97" t="n">
        <v>1</v>
      </c>
      <c r="C359" s="88" t="s">
        <v>194</v>
      </c>
      <c r="D359" s="88" t="s">
        <v>425</v>
      </c>
      <c r="E359" s="98" t="n">
        <v>0</v>
      </c>
      <c r="F359" s="102" t="n">
        <f aca="false">$E359*Parametros!$C$22</f>
        <v>0</v>
      </c>
      <c r="G359" s="90"/>
      <c r="H359" s="102" t="n">
        <f aca="false">$E359*Parametros!$C$23</f>
        <v>0</v>
      </c>
      <c r="I359" s="90" t="n">
        <v>0.0946</v>
      </c>
    </row>
    <row r="360" customFormat="false" ht="15" hidden="false" customHeight="false" outlineLevel="0" collapsed="false">
      <c r="A360" s="88" t="s">
        <v>190</v>
      </c>
      <c r="B360" s="97" t="n">
        <v>1</v>
      </c>
      <c r="C360" s="88" t="s">
        <v>194</v>
      </c>
      <c r="D360" s="88" t="s">
        <v>457</v>
      </c>
      <c r="E360" s="98" t="n">
        <v>0</v>
      </c>
      <c r="F360" s="102" t="n">
        <f aca="false">$E360*Parametros!$C$22</f>
        <v>0</v>
      </c>
      <c r="G360" s="90"/>
      <c r="H360" s="102" t="n">
        <f aca="false">$E360*Parametros!$C$23</f>
        <v>0</v>
      </c>
      <c r="I360" s="90" t="n">
        <v>0.0959</v>
      </c>
    </row>
    <row r="361" customFormat="false" ht="15" hidden="false" customHeight="false" outlineLevel="0" collapsed="false">
      <c r="A361" s="88" t="s">
        <v>190</v>
      </c>
      <c r="B361" s="97" t="n">
        <v>1</v>
      </c>
      <c r="C361" s="88" t="s">
        <v>194</v>
      </c>
      <c r="D361" s="88" t="s">
        <v>458</v>
      </c>
      <c r="E361" s="98" t="n">
        <v>0</v>
      </c>
      <c r="F361" s="102" t="n">
        <f aca="false">$E361*Parametros!$C$22</f>
        <v>0</v>
      </c>
      <c r="G361" s="90" t="n">
        <v>0.463</v>
      </c>
      <c r="H361" s="102" t="n">
        <f aca="false">$E361*Parametros!$C$23</f>
        <v>0</v>
      </c>
      <c r="I361" s="90" t="n">
        <v>0.0946</v>
      </c>
    </row>
    <row r="362" customFormat="false" ht="15" hidden="false" customHeight="false" outlineLevel="0" collapsed="false">
      <c r="A362" s="88" t="s">
        <v>190</v>
      </c>
      <c r="B362" s="97" t="n">
        <v>1</v>
      </c>
      <c r="C362" s="88" t="s">
        <v>194</v>
      </c>
      <c r="D362" s="88" t="s">
        <v>362</v>
      </c>
      <c r="E362" s="98" t="n">
        <v>0</v>
      </c>
      <c r="F362" s="102" t="n">
        <f aca="false">$E362*Parametros!$C$22</f>
        <v>0</v>
      </c>
      <c r="G362" s="90"/>
      <c r="H362" s="102" t="n">
        <f aca="false">$E362*Parametros!$C$23</f>
        <v>0</v>
      </c>
      <c r="I362" s="90" t="n">
        <v>0.0509</v>
      </c>
    </row>
    <row r="363" customFormat="false" ht="15" hidden="false" customHeight="false" outlineLevel="0" collapsed="false">
      <c r="A363" s="88" t="s">
        <v>190</v>
      </c>
      <c r="B363" s="97" t="n">
        <v>2</v>
      </c>
      <c r="C363" s="88" t="s">
        <v>459</v>
      </c>
      <c r="D363" s="88" t="s">
        <v>412</v>
      </c>
      <c r="E363" s="98" t="n">
        <v>0</v>
      </c>
      <c r="F363" s="102" t="n">
        <f aca="false">$E363*Parametros!$C$22</f>
        <v>0</v>
      </c>
      <c r="G363" s="90"/>
      <c r="H363" s="102" t="n">
        <f aca="false">$E363*Parametros!$C$23</f>
        <v>0</v>
      </c>
      <c r="I363" s="90" t="n">
        <v>0.0959</v>
      </c>
    </row>
    <row r="364" customFormat="false" ht="15" hidden="false" customHeight="false" outlineLevel="0" collapsed="false">
      <c r="A364" s="88" t="s">
        <v>190</v>
      </c>
      <c r="B364" s="97" t="n">
        <v>2</v>
      </c>
      <c r="C364" s="88" t="s">
        <v>459</v>
      </c>
      <c r="D364" s="88" t="s">
        <v>446</v>
      </c>
      <c r="E364" s="98" t="n">
        <v>0</v>
      </c>
      <c r="F364" s="102" t="n">
        <f aca="false">$E364*Parametros!$C$22</f>
        <v>0</v>
      </c>
      <c r="G364" s="90" t="n">
        <v>1.81</v>
      </c>
      <c r="H364" s="102" t="n">
        <f aca="false">$E364*Parametros!$C$23</f>
        <v>0</v>
      </c>
      <c r="I364" s="90" t="n">
        <v>0.0509</v>
      </c>
    </row>
    <row r="365" customFormat="false" ht="15" hidden="false" customHeight="false" outlineLevel="0" collapsed="false">
      <c r="A365" s="88" t="s">
        <v>190</v>
      </c>
      <c r="B365" s="97" t="n">
        <v>2</v>
      </c>
      <c r="C365" s="88" t="s">
        <v>459</v>
      </c>
      <c r="D365" s="88" t="s">
        <v>447</v>
      </c>
      <c r="E365" s="98" t="n">
        <v>0</v>
      </c>
      <c r="F365" s="102" t="n">
        <f aca="false">$E365*Parametros!$C$22</f>
        <v>0</v>
      </c>
      <c r="G365" s="90"/>
      <c r="H365" s="102" t="n">
        <f aca="false">$E365*Parametros!$C$23</f>
        <v>0</v>
      </c>
      <c r="I365" s="90" t="n">
        <v>3.36</v>
      </c>
    </row>
    <row r="366" customFormat="false" ht="15" hidden="false" customHeight="false" outlineLevel="0" collapsed="false">
      <c r="A366" s="88" t="s">
        <v>190</v>
      </c>
      <c r="B366" s="97" t="n">
        <v>2</v>
      </c>
      <c r="C366" s="88" t="s">
        <v>459</v>
      </c>
      <c r="D366" s="88" t="s">
        <v>448</v>
      </c>
      <c r="E366" s="98" t="n">
        <v>0</v>
      </c>
      <c r="F366" s="102" t="n">
        <f aca="false">$E366*Parametros!$C$22</f>
        <v>0</v>
      </c>
      <c r="G366" s="90"/>
      <c r="H366" s="102" t="n">
        <f aca="false">$E366*Parametros!$C$23</f>
        <v>0</v>
      </c>
      <c r="I366" s="90" t="n">
        <v>0.0662</v>
      </c>
    </row>
    <row r="367" customFormat="false" ht="15" hidden="false" customHeight="false" outlineLevel="0" collapsed="false">
      <c r="A367" s="88" t="s">
        <v>190</v>
      </c>
      <c r="B367" s="97" t="n">
        <v>2</v>
      </c>
      <c r="C367" s="88" t="s">
        <v>459</v>
      </c>
      <c r="D367" s="88" t="s">
        <v>415</v>
      </c>
      <c r="E367" s="98" t="n">
        <v>0</v>
      </c>
      <c r="F367" s="102" t="n">
        <f aca="false">$E367*Parametros!$C$22</f>
        <v>0</v>
      </c>
      <c r="G367" s="90"/>
      <c r="H367" s="102" t="n">
        <f aca="false">$E367*Parametros!$C$23</f>
        <v>0</v>
      </c>
      <c r="I367" s="90" t="n">
        <v>0.0662</v>
      </c>
    </row>
    <row r="368" customFormat="false" ht="15" hidden="false" customHeight="false" outlineLevel="0" collapsed="false">
      <c r="A368" s="88" t="s">
        <v>190</v>
      </c>
      <c r="B368" s="97" t="n">
        <v>2</v>
      </c>
      <c r="C368" s="88" t="s">
        <v>459</v>
      </c>
      <c r="D368" s="88" t="s">
        <v>449</v>
      </c>
      <c r="E368" s="98" t="n">
        <v>0</v>
      </c>
      <c r="F368" s="102" t="n">
        <f aca="false">$E368*Parametros!$C$22</f>
        <v>0</v>
      </c>
      <c r="G368" s="90" t="n">
        <v>0.846</v>
      </c>
      <c r="H368" s="102" t="n">
        <f aca="false">$E368*Parametros!$C$23</f>
        <v>0</v>
      </c>
      <c r="I368" s="90" t="n">
        <v>0.0959</v>
      </c>
    </row>
    <row r="369" customFormat="false" ht="15" hidden="false" customHeight="false" outlineLevel="0" collapsed="false">
      <c r="A369" s="88" t="s">
        <v>190</v>
      </c>
      <c r="B369" s="97" t="n">
        <v>2</v>
      </c>
      <c r="C369" s="88" t="s">
        <v>459</v>
      </c>
      <c r="D369" s="88" t="s">
        <v>450</v>
      </c>
      <c r="E369" s="98" t="n">
        <v>0</v>
      </c>
      <c r="F369" s="102" t="n">
        <f aca="false">$E369*Parametros!$C$22</f>
        <v>0</v>
      </c>
      <c r="G369" s="90" t="n">
        <v>0.498</v>
      </c>
      <c r="H369" s="102" t="n">
        <f aca="false">$E369*Parametros!$C$23</f>
        <v>0</v>
      </c>
      <c r="I369" s="90" t="n">
        <v>0.0946</v>
      </c>
    </row>
    <row r="370" customFormat="false" ht="15" hidden="false" customHeight="false" outlineLevel="0" collapsed="false">
      <c r="A370" s="88" t="s">
        <v>190</v>
      </c>
      <c r="B370" s="97" t="n">
        <v>2</v>
      </c>
      <c r="C370" s="88" t="s">
        <v>459</v>
      </c>
      <c r="D370" s="88" t="s">
        <v>451</v>
      </c>
      <c r="E370" s="98" t="n">
        <v>0</v>
      </c>
      <c r="F370" s="102" t="n">
        <f aca="false">$E370*Parametros!$C$22</f>
        <v>0</v>
      </c>
      <c r="G370" s="90" t="n">
        <v>0.56</v>
      </c>
      <c r="H370" s="102" t="n">
        <f aca="false">$E370*Parametros!$C$23</f>
        <v>0</v>
      </c>
      <c r="I370" s="90" t="n">
        <v>0.0946</v>
      </c>
    </row>
    <row r="371" customFormat="false" ht="15" hidden="false" customHeight="false" outlineLevel="0" collapsed="false">
      <c r="A371" s="88" t="s">
        <v>190</v>
      </c>
      <c r="B371" s="97" t="n">
        <v>2</v>
      </c>
      <c r="C371" s="88" t="s">
        <v>459</v>
      </c>
      <c r="D371" s="88" t="s">
        <v>452</v>
      </c>
      <c r="E371" s="98" t="n">
        <v>0</v>
      </c>
      <c r="F371" s="102" t="n">
        <f aca="false">$E371*Parametros!$C$22</f>
        <v>0</v>
      </c>
      <c r="G371" s="90"/>
      <c r="H371" s="102" t="n">
        <f aca="false">$E371*Parametros!$C$23</f>
        <v>0</v>
      </c>
      <c r="I371" s="90" t="n">
        <v>0.0935</v>
      </c>
    </row>
    <row r="372" customFormat="false" ht="15" hidden="false" customHeight="false" outlineLevel="0" collapsed="false">
      <c r="A372" s="88" t="s">
        <v>190</v>
      </c>
      <c r="B372" s="97" t="n">
        <v>2</v>
      </c>
      <c r="C372" s="88" t="s">
        <v>459</v>
      </c>
      <c r="D372" s="88" t="s">
        <v>416</v>
      </c>
      <c r="E372" s="98" t="n">
        <v>0</v>
      </c>
      <c r="F372" s="102" t="n">
        <f aca="false">$E372*Parametros!$C$22</f>
        <v>0</v>
      </c>
      <c r="G372" s="90"/>
      <c r="H372" s="102" t="n">
        <f aca="false">$E372*Parametros!$C$23</f>
        <v>0</v>
      </c>
      <c r="I372" s="90" t="n">
        <v>0.0935</v>
      </c>
    </row>
    <row r="373" customFormat="false" ht="15" hidden="false" customHeight="false" outlineLevel="0" collapsed="false">
      <c r="A373" s="88" t="s">
        <v>190</v>
      </c>
      <c r="B373" s="97" t="n">
        <v>2</v>
      </c>
      <c r="C373" s="88" t="s">
        <v>459</v>
      </c>
      <c r="D373" s="88" t="s">
        <v>420</v>
      </c>
      <c r="E373" s="98" t="n">
        <v>0</v>
      </c>
      <c r="F373" s="102" t="n">
        <f aca="false">$E373*Parametros!$C$22</f>
        <v>0</v>
      </c>
      <c r="G373" s="90"/>
      <c r="H373" s="102" t="n">
        <f aca="false">$E373*Parametros!$C$23</f>
        <v>0</v>
      </c>
      <c r="I373" s="90" t="n">
        <v>0.067</v>
      </c>
    </row>
    <row r="374" customFormat="false" ht="15" hidden="false" customHeight="false" outlineLevel="0" collapsed="false">
      <c r="A374" s="88" t="s">
        <v>190</v>
      </c>
      <c r="B374" s="97" t="n">
        <v>2</v>
      </c>
      <c r="C374" s="88" t="s">
        <v>459</v>
      </c>
      <c r="D374" s="88" t="s">
        <v>453</v>
      </c>
      <c r="E374" s="98" t="n">
        <v>0</v>
      </c>
      <c r="F374" s="102" t="n">
        <f aca="false">$E374*Parametros!$C$22</f>
        <v>0</v>
      </c>
      <c r="G374" s="90"/>
      <c r="H374" s="102" t="n">
        <f aca="false">$E374*Parametros!$C$23</f>
        <v>0</v>
      </c>
      <c r="I374" s="90" t="n">
        <v>0.0662</v>
      </c>
    </row>
    <row r="375" customFormat="false" ht="15" hidden="false" customHeight="false" outlineLevel="0" collapsed="false">
      <c r="A375" s="88" t="s">
        <v>190</v>
      </c>
      <c r="B375" s="97" t="n">
        <v>2</v>
      </c>
      <c r="C375" s="88" t="s">
        <v>459</v>
      </c>
      <c r="D375" s="88" t="s">
        <v>454</v>
      </c>
      <c r="E375" s="98" t="n">
        <v>0</v>
      </c>
      <c r="F375" s="102" t="n">
        <f aca="false">$E375*Parametros!$C$22</f>
        <v>0</v>
      </c>
      <c r="G375" s="90" t="n">
        <v>0.732</v>
      </c>
      <c r="H375" s="102" t="n">
        <f aca="false">$E375*Parametros!$C$23</f>
        <v>0</v>
      </c>
      <c r="I375" s="90" t="n">
        <v>0.0946</v>
      </c>
    </row>
    <row r="376" customFormat="false" ht="15" hidden="false" customHeight="false" outlineLevel="0" collapsed="false">
      <c r="A376" s="88" t="s">
        <v>190</v>
      </c>
      <c r="B376" s="97" t="n">
        <v>2</v>
      </c>
      <c r="C376" s="88" t="s">
        <v>459</v>
      </c>
      <c r="D376" s="88" t="s">
        <v>455</v>
      </c>
      <c r="E376" s="98" t="n">
        <v>0</v>
      </c>
      <c r="F376" s="102" t="n">
        <f aca="false">$E376*Parametros!$C$22</f>
        <v>0</v>
      </c>
      <c r="G376" s="90"/>
      <c r="H376" s="102" t="n">
        <f aca="false">$E376*Parametros!$C$23</f>
        <v>0</v>
      </c>
      <c r="I376" s="90" t="n">
        <v>0.0946</v>
      </c>
    </row>
    <row r="377" customFormat="false" ht="15" hidden="false" customHeight="false" outlineLevel="0" collapsed="false">
      <c r="A377" s="88" t="s">
        <v>190</v>
      </c>
      <c r="B377" s="97" t="n">
        <v>2</v>
      </c>
      <c r="C377" s="88" t="s">
        <v>459</v>
      </c>
      <c r="D377" s="88" t="s">
        <v>456</v>
      </c>
      <c r="E377" s="98" t="n">
        <v>0</v>
      </c>
      <c r="F377" s="102" t="n">
        <f aca="false">$E377*Parametros!$C$22</f>
        <v>0</v>
      </c>
      <c r="G377" s="90"/>
      <c r="H377" s="102" t="n">
        <f aca="false">$E377*Parametros!$C$23</f>
        <v>0</v>
      </c>
      <c r="I377" s="90" t="n">
        <v>0.501</v>
      </c>
    </row>
    <row r="378" customFormat="false" ht="15" hidden="false" customHeight="false" outlineLevel="0" collapsed="false">
      <c r="A378" s="88" t="s">
        <v>190</v>
      </c>
      <c r="B378" s="97" t="n">
        <v>2</v>
      </c>
      <c r="C378" s="88" t="s">
        <v>459</v>
      </c>
      <c r="D378" s="88" t="s">
        <v>425</v>
      </c>
      <c r="E378" s="98" t="n">
        <v>0</v>
      </c>
      <c r="F378" s="102" t="n">
        <f aca="false">$E378*Parametros!$C$22</f>
        <v>0</v>
      </c>
      <c r="G378" s="90"/>
      <c r="H378" s="102" t="n">
        <f aca="false">$E378*Parametros!$C$23</f>
        <v>0</v>
      </c>
      <c r="I378" s="90" t="n">
        <v>0.0946</v>
      </c>
    </row>
    <row r="379" customFormat="false" ht="15" hidden="false" customHeight="false" outlineLevel="0" collapsed="false">
      <c r="A379" s="88" t="s">
        <v>190</v>
      </c>
      <c r="B379" s="97" t="n">
        <v>2</v>
      </c>
      <c r="C379" s="88" t="s">
        <v>459</v>
      </c>
      <c r="D379" s="88" t="s">
        <v>457</v>
      </c>
      <c r="E379" s="98" t="n">
        <v>0</v>
      </c>
      <c r="F379" s="102" t="n">
        <f aca="false">$E379*Parametros!$C$22</f>
        <v>0</v>
      </c>
      <c r="G379" s="90"/>
      <c r="H379" s="102" t="n">
        <f aca="false">$E379*Parametros!$C$23</f>
        <v>0</v>
      </c>
      <c r="I379" s="90" t="n">
        <v>0.0959</v>
      </c>
    </row>
    <row r="380" customFormat="false" ht="15" hidden="false" customHeight="false" outlineLevel="0" collapsed="false">
      <c r="A380" s="88" t="s">
        <v>190</v>
      </c>
      <c r="B380" s="97" t="n">
        <v>2</v>
      </c>
      <c r="C380" s="88" t="s">
        <v>459</v>
      </c>
      <c r="D380" s="88" t="s">
        <v>458</v>
      </c>
      <c r="E380" s="98" t="n">
        <v>0</v>
      </c>
      <c r="F380" s="102" t="n">
        <f aca="false">$E380*Parametros!$C$22</f>
        <v>0</v>
      </c>
      <c r="G380" s="90" t="n">
        <v>2.55</v>
      </c>
      <c r="H380" s="102" t="n">
        <f aca="false">$E380*Parametros!$C$23</f>
        <v>0</v>
      </c>
      <c r="I380" s="90" t="n">
        <v>0.189</v>
      </c>
    </row>
    <row r="381" customFormat="false" ht="15" hidden="false" customHeight="false" outlineLevel="0" collapsed="false">
      <c r="A381" s="88" t="s">
        <v>190</v>
      </c>
      <c r="B381" s="97" t="n">
        <v>2</v>
      </c>
      <c r="C381" s="88" t="s">
        <v>459</v>
      </c>
      <c r="D381" s="88" t="s">
        <v>362</v>
      </c>
      <c r="E381" s="98" t="n">
        <v>0</v>
      </c>
      <c r="F381" s="102" t="n">
        <f aca="false">$E381*Parametros!$C$22</f>
        <v>0</v>
      </c>
      <c r="G381" s="90"/>
      <c r="H381" s="102" t="n">
        <f aca="false">$E381*Parametros!$C$23</f>
        <v>0</v>
      </c>
      <c r="I381" s="90" t="n">
        <v>0.09</v>
      </c>
    </row>
    <row r="382" customFormat="false" ht="22.35" hidden="false" customHeight="false" outlineLevel="0" collapsed="false">
      <c r="A382" s="88" t="s">
        <v>190</v>
      </c>
      <c r="B382" s="97" t="n">
        <v>3</v>
      </c>
      <c r="C382" s="88" t="s">
        <v>196</v>
      </c>
      <c r="D382" s="88" t="s">
        <v>412</v>
      </c>
      <c r="E382" s="98" t="n">
        <v>266.9</v>
      </c>
      <c r="F382" s="102" t="n">
        <f aca="false">$E382*Parametros!$C$22</f>
        <v>1281.12</v>
      </c>
      <c r="G382" s="90"/>
      <c r="H382" s="102" t="n">
        <f aca="false">$E382*Parametros!$C$23</f>
        <v>160.14</v>
      </c>
      <c r="I382" s="90" t="n">
        <v>0.176</v>
      </c>
    </row>
    <row r="383" customFormat="false" ht="22.35" hidden="false" customHeight="false" outlineLevel="0" collapsed="false">
      <c r="A383" s="88" t="s">
        <v>190</v>
      </c>
      <c r="B383" s="97" t="n">
        <v>3</v>
      </c>
      <c r="C383" s="88" t="s">
        <v>196</v>
      </c>
      <c r="D383" s="88" t="s">
        <v>446</v>
      </c>
      <c r="E383" s="98" t="n">
        <v>266.9</v>
      </c>
      <c r="F383" s="102" t="n">
        <f aca="false">$E383*Parametros!$C$22</f>
        <v>1281.12</v>
      </c>
      <c r="G383" s="90" t="n">
        <v>1.72</v>
      </c>
      <c r="H383" s="102" t="n">
        <f aca="false">$E383*Parametros!$C$23</f>
        <v>160.14</v>
      </c>
      <c r="I383" s="90" t="n">
        <v>0.0509</v>
      </c>
    </row>
    <row r="384" customFormat="false" ht="22.35" hidden="false" customHeight="false" outlineLevel="0" collapsed="false">
      <c r="A384" s="88" t="s">
        <v>190</v>
      </c>
      <c r="B384" s="97" t="n">
        <v>3</v>
      </c>
      <c r="C384" s="88" t="s">
        <v>196</v>
      </c>
      <c r="D384" s="88" t="s">
        <v>447</v>
      </c>
      <c r="E384" s="98" t="n">
        <v>266.9</v>
      </c>
      <c r="F384" s="102" t="n">
        <f aca="false">$E384*Parametros!$C$22</f>
        <v>1281.12</v>
      </c>
      <c r="G384" s="90"/>
      <c r="H384" s="102" t="n">
        <f aca="false">$E384*Parametros!$C$23</f>
        <v>160.14</v>
      </c>
      <c r="I384" s="90" t="n">
        <v>0.0662</v>
      </c>
    </row>
    <row r="385" customFormat="false" ht="22.35" hidden="false" customHeight="false" outlineLevel="0" collapsed="false">
      <c r="A385" s="88" t="s">
        <v>190</v>
      </c>
      <c r="B385" s="97" t="n">
        <v>3</v>
      </c>
      <c r="C385" s="88" t="s">
        <v>196</v>
      </c>
      <c r="D385" s="88" t="s">
        <v>448</v>
      </c>
      <c r="E385" s="98" t="n">
        <v>266.9</v>
      </c>
      <c r="F385" s="102" t="n">
        <f aca="false">$E385*Parametros!$C$22</f>
        <v>1281.12</v>
      </c>
      <c r="G385" s="90"/>
      <c r="H385" s="102" t="n">
        <f aca="false">$E385*Parametros!$C$23</f>
        <v>160.14</v>
      </c>
      <c r="I385" s="90" t="n">
        <v>0.0662</v>
      </c>
    </row>
    <row r="386" customFormat="false" ht="22.35" hidden="false" customHeight="false" outlineLevel="0" collapsed="false">
      <c r="A386" s="88" t="s">
        <v>190</v>
      </c>
      <c r="B386" s="97" t="n">
        <v>3</v>
      </c>
      <c r="C386" s="88" t="s">
        <v>196</v>
      </c>
      <c r="D386" s="88" t="s">
        <v>415</v>
      </c>
      <c r="E386" s="98" t="n">
        <v>266.9</v>
      </c>
      <c r="F386" s="102" t="n">
        <f aca="false">$E386*Parametros!$C$22</f>
        <v>1281.12</v>
      </c>
      <c r="G386" s="90"/>
      <c r="H386" s="102" t="n">
        <f aca="false">$E386*Parametros!$C$23</f>
        <v>160.14</v>
      </c>
      <c r="I386" s="90" t="n">
        <v>0.0662</v>
      </c>
    </row>
    <row r="387" customFormat="false" ht="22.35" hidden="false" customHeight="false" outlineLevel="0" collapsed="false">
      <c r="A387" s="88" t="s">
        <v>190</v>
      </c>
      <c r="B387" s="97" t="n">
        <v>3</v>
      </c>
      <c r="C387" s="88" t="s">
        <v>196</v>
      </c>
      <c r="D387" s="88" t="s">
        <v>449</v>
      </c>
      <c r="E387" s="98" t="n">
        <v>266.9</v>
      </c>
      <c r="F387" s="102" t="n">
        <f aca="false">$E387*Parametros!$C$22</f>
        <v>1281.12</v>
      </c>
      <c r="G387" s="90" t="n">
        <v>1.36</v>
      </c>
      <c r="H387" s="102" t="n">
        <f aca="false">$E387*Parametros!$C$23</f>
        <v>160.14</v>
      </c>
      <c r="I387" s="90" t="n">
        <v>0.0959</v>
      </c>
    </row>
    <row r="388" customFormat="false" ht="22.35" hidden="false" customHeight="false" outlineLevel="0" collapsed="false">
      <c r="A388" s="88" t="s">
        <v>190</v>
      </c>
      <c r="B388" s="97" t="n">
        <v>3</v>
      </c>
      <c r="C388" s="88" t="s">
        <v>196</v>
      </c>
      <c r="D388" s="88" t="s">
        <v>450</v>
      </c>
      <c r="E388" s="98" t="n">
        <v>266.9</v>
      </c>
      <c r="F388" s="102" t="n">
        <f aca="false">$E388*Parametros!$C$22</f>
        <v>1281.12</v>
      </c>
      <c r="G388" s="90" t="n">
        <v>8.46</v>
      </c>
      <c r="H388" s="102" t="n">
        <f aca="false">$E388*Parametros!$C$23</f>
        <v>160.14</v>
      </c>
      <c r="I388" s="90" t="n">
        <v>1.12</v>
      </c>
    </row>
    <row r="389" customFormat="false" ht="22.35" hidden="false" customHeight="false" outlineLevel="0" collapsed="false">
      <c r="A389" s="88" t="s">
        <v>190</v>
      </c>
      <c r="B389" s="97" t="n">
        <v>3</v>
      </c>
      <c r="C389" s="88" t="s">
        <v>196</v>
      </c>
      <c r="D389" s="88" t="s">
        <v>451</v>
      </c>
      <c r="E389" s="98" t="n">
        <v>266.9</v>
      </c>
      <c r="F389" s="102" t="n">
        <f aca="false">$E389*Parametros!$C$22</f>
        <v>1281.12</v>
      </c>
      <c r="G389" s="90" t="n">
        <v>2.6</v>
      </c>
      <c r="H389" s="102" t="n">
        <f aca="false">$E389*Parametros!$C$23</f>
        <v>160.14</v>
      </c>
      <c r="I389" s="90" t="n">
        <v>0.49</v>
      </c>
    </row>
    <row r="390" customFormat="false" ht="22.35" hidden="false" customHeight="false" outlineLevel="0" collapsed="false">
      <c r="A390" s="88" t="s">
        <v>190</v>
      </c>
      <c r="B390" s="97" t="n">
        <v>3</v>
      </c>
      <c r="C390" s="88" t="s">
        <v>196</v>
      </c>
      <c r="D390" s="88" t="s">
        <v>452</v>
      </c>
      <c r="E390" s="98" t="n">
        <v>266.9</v>
      </c>
      <c r="F390" s="102" t="n">
        <f aca="false">$E390*Parametros!$C$22</f>
        <v>1281.12</v>
      </c>
      <c r="G390" s="90"/>
      <c r="H390" s="102" t="n">
        <f aca="false">$E390*Parametros!$C$23</f>
        <v>160.14</v>
      </c>
      <c r="I390" s="90" t="n">
        <v>0.0935</v>
      </c>
    </row>
    <row r="391" customFormat="false" ht="22.35" hidden="false" customHeight="false" outlineLevel="0" collapsed="false">
      <c r="A391" s="88" t="s">
        <v>190</v>
      </c>
      <c r="B391" s="97" t="n">
        <v>3</v>
      </c>
      <c r="C391" s="88" t="s">
        <v>196</v>
      </c>
      <c r="D391" s="88" t="s">
        <v>416</v>
      </c>
      <c r="E391" s="98" t="n">
        <v>266.9</v>
      </c>
      <c r="F391" s="102" t="n">
        <f aca="false">$E391*Parametros!$C$22</f>
        <v>1281.12</v>
      </c>
      <c r="G391" s="90"/>
      <c r="H391" s="102" t="n">
        <f aca="false">$E391*Parametros!$C$23</f>
        <v>160.14</v>
      </c>
      <c r="I391" s="90" t="n">
        <v>0.0935</v>
      </c>
    </row>
    <row r="392" customFormat="false" ht="22.35" hidden="false" customHeight="false" outlineLevel="0" collapsed="false">
      <c r="A392" s="88" t="s">
        <v>190</v>
      </c>
      <c r="B392" s="97" t="n">
        <v>3</v>
      </c>
      <c r="C392" s="88" t="s">
        <v>196</v>
      </c>
      <c r="D392" s="88" t="s">
        <v>420</v>
      </c>
      <c r="E392" s="98" t="n">
        <v>266.9</v>
      </c>
      <c r="F392" s="102" t="n">
        <f aca="false">$E392*Parametros!$C$22</f>
        <v>1281.12</v>
      </c>
      <c r="G392" s="90"/>
      <c r="H392" s="102" t="n">
        <f aca="false">$E392*Parametros!$C$23</f>
        <v>160.14</v>
      </c>
      <c r="I392" s="90" t="n">
        <v>0.0662</v>
      </c>
    </row>
    <row r="393" customFormat="false" ht="22.35" hidden="false" customHeight="false" outlineLevel="0" collapsed="false">
      <c r="A393" s="88" t="s">
        <v>190</v>
      </c>
      <c r="B393" s="97" t="n">
        <v>3</v>
      </c>
      <c r="C393" s="88" t="s">
        <v>196</v>
      </c>
      <c r="D393" s="88" t="s">
        <v>453</v>
      </c>
      <c r="E393" s="98" t="n">
        <v>266.9</v>
      </c>
      <c r="F393" s="102" t="n">
        <f aca="false">$E393*Parametros!$C$22</f>
        <v>1281.12</v>
      </c>
      <c r="G393" s="90"/>
      <c r="H393" s="102" t="n">
        <f aca="false">$E393*Parametros!$C$23</f>
        <v>160.14</v>
      </c>
      <c r="I393" s="90" t="n">
        <v>0.083</v>
      </c>
    </row>
    <row r="394" customFormat="false" ht="22.35" hidden="false" customHeight="false" outlineLevel="0" collapsed="false">
      <c r="A394" s="88" t="s">
        <v>190</v>
      </c>
      <c r="B394" s="97" t="n">
        <v>3</v>
      </c>
      <c r="C394" s="88" t="s">
        <v>196</v>
      </c>
      <c r="D394" s="88" t="s">
        <v>454</v>
      </c>
      <c r="E394" s="98" t="n">
        <v>266.9</v>
      </c>
      <c r="F394" s="102" t="n">
        <f aca="false">$E394*Parametros!$C$22</f>
        <v>1281.12</v>
      </c>
      <c r="G394" s="90" t="n">
        <v>0.925</v>
      </c>
      <c r="H394" s="102" t="n">
        <f aca="false">$E394*Parametros!$C$23</f>
        <v>160.14</v>
      </c>
      <c r="I394" s="90" t="n">
        <v>0.0946</v>
      </c>
    </row>
    <row r="395" customFormat="false" ht="22.35" hidden="false" customHeight="false" outlineLevel="0" collapsed="false">
      <c r="A395" s="88" t="s">
        <v>190</v>
      </c>
      <c r="B395" s="97" t="n">
        <v>3</v>
      </c>
      <c r="C395" s="88" t="s">
        <v>196</v>
      </c>
      <c r="D395" s="88" t="s">
        <v>455</v>
      </c>
      <c r="E395" s="98" t="n">
        <v>266.9</v>
      </c>
      <c r="F395" s="102" t="n">
        <f aca="false">$E395*Parametros!$C$22</f>
        <v>1281.12</v>
      </c>
      <c r="G395" s="90"/>
      <c r="H395" s="102" t="n">
        <f aca="false">$E395*Parametros!$C$23</f>
        <v>160.14</v>
      </c>
      <c r="I395" s="90" t="n">
        <v>0.12</v>
      </c>
    </row>
    <row r="396" customFormat="false" ht="22.35" hidden="false" customHeight="false" outlineLevel="0" collapsed="false">
      <c r="A396" s="88" t="s">
        <v>190</v>
      </c>
      <c r="B396" s="97" t="n">
        <v>3</v>
      </c>
      <c r="C396" s="88" t="s">
        <v>196</v>
      </c>
      <c r="D396" s="88" t="s">
        <v>456</v>
      </c>
      <c r="E396" s="98" t="n">
        <v>266.9</v>
      </c>
      <c r="F396" s="102" t="n">
        <f aca="false">$E396*Parametros!$C$22</f>
        <v>1281.12</v>
      </c>
      <c r="G396" s="90"/>
      <c r="H396" s="102" t="n">
        <f aca="false">$E396*Parametros!$C$23</f>
        <v>160.14</v>
      </c>
      <c r="I396" s="90" t="n">
        <v>0.278</v>
      </c>
    </row>
    <row r="397" customFormat="false" ht="22.35" hidden="false" customHeight="false" outlineLevel="0" collapsed="false">
      <c r="A397" s="88" t="s">
        <v>190</v>
      </c>
      <c r="B397" s="97" t="n">
        <v>3</v>
      </c>
      <c r="C397" s="88" t="s">
        <v>196</v>
      </c>
      <c r="D397" s="88" t="s">
        <v>425</v>
      </c>
      <c r="E397" s="98" t="n">
        <v>266.9</v>
      </c>
      <c r="F397" s="102" t="n">
        <f aca="false">$E397*Parametros!$C$22</f>
        <v>1281.12</v>
      </c>
      <c r="G397" s="90"/>
      <c r="H397" s="102" t="n">
        <f aca="false">$E397*Parametros!$C$23</f>
        <v>160.14</v>
      </c>
      <c r="I397" s="90" t="n">
        <v>0.0946</v>
      </c>
    </row>
    <row r="398" customFormat="false" ht="22.35" hidden="false" customHeight="false" outlineLevel="0" collapsed="false">
      <c r="A398" s="88" t="s">
        <v>190</v>
      </c>
      <c r="B398" s="97" t="n">
        <v>3</v>
      </c>
      <c r="C398" s="88" t="s">
        <v>196</v>
      </c>
      <c r="D398" s="88" t="s">
        <v>457</v>
      </c>
      <c r="E398" s="98" t="n">
        <v>266.9</v>
      </c>
      <c r="F398" s="102" t="n">
        <f aca="false">$E398*Parametros!$C$22</f>
        <v>1281.12</v>
      </c>
      <c r="G398" s="90"/>
      <c r="H398" s="102" t="n">
        <f aca="false">$E398*Parametros!$C$23</f>
        <v>160.14</v>
      </c>
      <c r="I398" s="90" t="n">
        <v>0.0959</v>
      </c>
    </row>
    <row r="399" customFormat="false" ht="22.35" hidden="false" customHeight="false" outlineLevel="0" collapsed="false">
      <c r="A399" s="88" t="s">
        <v>190</v>
      </c>
      <c r="B399" s="97" t="n">
        <v>3</v>
      </c>
      <c r="C399" s="88" t="s">
        <v>196</v>
      </c>
      <c r="D399" s="88" t="s">
        <v>458</v>
      </c>
      <c r="E399" s="98" t="n">
        <v>266.9</v>
      </c>
      <c r="F399" s="102" t="n">
        <f aca="false">$E399*Parametros!$C$22</f>
        <v>1281.12</v>
      </c>
      <c r="G399" s="90" t="n">
        <v>1.52</v>
      </c>
      <c r="H399" s="102" t="n">
        <f aca="false">$E399*Parametros!$C$23</f>
        <v>160.14</v>
      </c>
      <c r="I399" s="90" t="n">
        <v>0.328</v>
      </c>
    </row>
    <row r="400" customFormat="false" ht="22.35" hidden="false" customHeight="false" outlineLevel="0" collapsed="false">
      <c r="A400" s="88" t="s">
        <v>190</v>
      </c>
      <c r="B400" s="97" t="n">
        <v>3</v>
      </c>
      <c r="C400" s="88" t="s">
        <v>196</v>
      </c>
      <c r="D400" s="88" t="s">
        <v>362</v>
      </c>
      <c r="E400" s="98" t="n">
        <v>266.9</v>
      </c>
      <c r="F400" s="102" t="n">
        <f aca="false">$E400*Parametros!$C$22</f>
        <v>1281.12</v>
      </c>
      <c r="G400" s="90"/>
      <c r="H400" s="102" t="n">
        <f aca="false">$E400*Parametros!$C$23</f>
        <v>160.14</v>
      </c>
      <c r="I400" s="90" t="n">
        <v>0.08</v>
      </c>
    </row>
    <row r="401" customFormat="false" ht="15" hidden="false" customHeight="false" outlineLevel="0" collapsed="false">
      <c r="A401" s="88" t="s">
        <v>197</v>
      </c>
      <c r="B401" s="97" t="n">
        <v>1</v>
      </c>
      <c r="C401" s="88" t="s">
        <v>199</v>
      </c>
      <c r="D401" s="88" t="s">
        <v>460</v>
      </c>
      <c r="E401" s="98" t="n">
        <v>0</v>
      </c>
      <c r="F401" s="102" t="n">
        <f aca="false">$E401*Parametros!$C$22</f>
        <v>0</v>
      </c>
      <c r="G401" s="90"/>
      <c r="H401" s="102" t="n">
        <f aca="false">$E401*Parametros!$C$23</f>
        <v>0</v>
      </c>
      <c r="I401" s="90" t="n">
        <v>0.0662</v>
      </c>
    </row>
    <row r="402" customFormat="false" ht="15" hidden="false" customHeight="false" outlineLevel="0" collapsed="false">
      <c r="A402" s="88" t="s">
        <v>197</v>
      </c>
      <c r="B402" s="97" t="n">
        <v>1</v>
      </c>
      <c r="C402" s="88" t="s">
        <v>199</v>
      </c>
      <c r="D402" s="88" t="s">
        <v>390</v>
      </c>
      <c r="E402" s="98" t="n">
        <v>0</v>
      </c>
      <c r="F402" s="102" t="n">
        <f aca="false">$E402*Parametros!$C$22</f>
        <v>0</v>
      </c>
      <c r="G402" s="90"/>
      <c r="H402" s="102" t="n">
        <f aca="false">$E402*Parametros!$C$23</f>
        <v>0</v>
      </c>
      <c r="I402" s="90" t="n">
        <v>0.0662</v>
      </c>
    </row>
    <row r="403" customFormat="false" ht="15" hidden="false" customHeight="false" outlineLevel="0" collapsed="false">
      <c r="A403" s="88" t="s">
        <v>197</v>
      </c>
      <c r="B403" s="97" t="n">
        <v>1</v>
      </c>
      <c r="C403" s="88" t="s">
        <v>199</v>
      </c>
      <c r="D403" s="88" t="s">
        <v>461</v>
      </c>
      <c r="E403" s="98" t="n">
        <v>0</v>
      </c>
      <c r="F403" s="102" t="n">
        <f aca="false">$E403*Parametros!$C$22</f>
        <v>0</v>
      </c>
      <c r="G403" s="90"/>
      <c r="H403" s="102" t="n">
        <f aca="false">$E403*Parametros!$C$23</f>
        <v>0</v>
      </c>
      <c r="I403" s="90" t="n">
        <v>0.0509</v>
      </c>
    </row>
    <row r="404" customFormat="false" ht="15" hidden="false" customHeight="false" outlineLevel="0" collapsed="false">
      <c r="A404" s="88" t="s">
        <v>197</v>
      </c>
      <c r="B404" s="97" t="n">
        <v>1</v>
      </c>
      <c r="C404" s="88" t="s">
        <v>199</v>
      </c>
      <c r="D404" s="88" t="s">
        <v>462</v>
      </c>
      <c r="E404" s="98" t="n">
        <v>0</v>
      </c>
      <c r="F404" s="102" t="n">
        <f aca="false">$E404*Parametros!$C$22</f>
        <v>0</v>
      </c>
      <c r="G404" s="90" t="n">
        <v>0.534</v>
      </c>
      <c r="H404" s="102" t="n">
        <f aca="false">$E404*Parametros!$C$23</f>
        <v>0</v>
      </c>
      <c r="I404" s="90" t="n">
        <v>0.0946</v>
      </c>
    </row>
    <row r="405" customFormat="false" ht="15" hidden="false" customHeight="false" outlineLevel="0" collapsed="false">
      <c r="A405" s="88" t="s">
        <v>197</v>
      </c>
      <c r="B405" s="97" t="n">
        <v>1</v>
      </c>
      <c r="C405" s="88" t="s">
        <v>199</v>
      </c>
      <c r="D405" s="88" t="s">
        <v>463</v>
      </c>
      <c r="E405" s="98" t="n">
        <v>0</v>
      </c>
      <c r="F405" s="102" t="n">
        <f aca="false">$E405*Parametros!$C$22</f>
        <v>0</v>
      </c>
      <c r="G405" s="90"/>
      <c r="H405" s="102" t="n">
        <f aca="false">$E405*Parametros!$C$23</f>
        <v>0</v>
      </c>
      <c r="I405" s="90" t="n">
        <v>0.113</v>
      </c>
    </row>
    <row r="406" customFormat="false" ht="15" hidden="false" customHeight="false" outlineLevel="0" collapsed="false">
      <c r="A406" s="88" t="s">
        <v>197</v>
      </c>
      <c r="B406" s="97" t="n">
        <v>1</v>
      </c>
      <c r="C406" s="88" t="s">
        <v>199</v>
      </c>
      <c r="D406" s="88" t="s">
        <v>464</v>
      </c>
      <c r="E406" s="98" t="n">
        <v>0</v>
      </c>
      <c r="F406" s="102" t="n">
        <f aca="false">$E406*Parametros!$C$22</f>
        <v>0</v>
      </c>
      <c r="G406" s="90"/>
      <c r="H406" s="102" t="n">
        <f aca="false">$E406*Parametros!$C$23</f>
        <v>0</v>
      </c>
      <c r="I406" s="90" t="n">
        <v>0.0946</v>
      </c>
    </row>
    <row r="407" customFormat="false" ht="15" hidden="false" customHeight="false" outlineLevel="0" collapsed="false">
      <c r="A407" s="88" t="s">
        <v>197</v>
      </c>
      <c r="B407" s="97" t="n">
        <v>1</v>
      </c>
      <c r="C407" s="88" t="s">
        <v>199</v>
      </c>
      <c r="D407" s="88" t="s">
        <v>465</v>
      </c>
      <c r="E407" s="98" t="n">
        <v>0</v>
      </c>
      <c r="F407" s="102" t="n">
        <f aca="false">$E407*Parametros!$C$22</f>
        <v>0</v>
      </c>
      <c r="G407" s="90" t="n">
        <v>0.725</v>
      </c>
      <c r="H407" s="102" t="n">
        <f aca="false">$E407*Parametros!$C$23</f>
        <v>0</v>
      </c>
      <c r="I407" s="90" t="n">
        <v>0.0946</v>
      </c>
    </row>
    <row r="408" customFormat="false" ht="15" hidden="false" customHeight="false" outlineLevel="0" collapsed="false">
      <c r="A408" s="88" t="s">
        <v>197</v>
      </c>
      <c r="B408" s="97" t="n">
        <v>1</v>
      </c>
      <c r="C408" s="88" t="s">
        <v>199</v>
      </c>
      <c r="D408" s="88" t="s">
        <v>451</v>
      </c>
      <c r="E408" s="98" t="n">
        <v>0</v>
      </c>
      <c r="F408" s="102" t="n">
        <f aca="false">$E408*Parametros!$C$22</f>
        <v>0</v>
      </c>
      <c r="G408" s="90" t="n">
        <v>1.7</v>
      </c>
      <c r="H408" s="102" t="n">
        <f aca="false">$E408*Parametros!$C$23</f>
        <v>0</v>
      </c>
      <c r="I408" s="90" t="n">
        <v>0.0946</v>
      </c>
    </row>
    <row r="409" customFormat="false" ht="15" hidden="false" customHeight="false" outlineLevel="0" collapsed="false">
      <c r="A409" s="88" t="s">
        <v>197</v>
      </c>
      <c r="B409" s="97" t="n">
        <v>1</v>
      </c>
      <c r="C409" s="88" t="s">
        <v>199</v>
      </c>
      <c r="D409" s="88" t="s">
        <v>466</v>
      </c>
      <c r="E409" s="98" t="n">
        <v>0</v>
      </c>
      <c r="F409" s="102" t="n">
        <f aca="false">$E409*Parametros!$C$22</f>
        <v>0</v>
      </c>
      <c r="G409" s="90"/>
      <c r="H409" s="102" t="n">
        <f aca="false">$E409*Parametros!$C$23</f>
        <v>0</v>
      </c>
      <c r="I409" s="90" t="n">
        <v>0.0935</v>
      </c>
    </row>
    <row r="410" customFormat="false" ht="15" hidden="false" customHeight="false" outlineLevel="0" collapsed="false">
      <c r="A410" s="88" t="s">
        <v>197</v>
      </c>
      <c r="B410" s="97" t="n">
        <v>1</v>
      </c>
      <c r="C410" s="88" t="s">
        <v>199</v>
      </c>
      <c r="D410" s="88" t="s">
        <v>467</v>
      </c>
      <c r="E410" s="98" t="n">
        <v>0</v>
      </c>
      <c r="F410" s="102" t="n">
        <f aca="false">$E410*Parametros!$C$22</f>
        <v>0</v>
      </c>
      <c r="G410" s="90" t="n">
        <v>0.463</v>
      </c>
      <c r="H410" s="102" t="n">
        <f aca="false">$E410*Parametros!$C$23</f>
        <v>0</v>
      </c>
      <c r="I410" s="90" t="n">
        <v>0.0946</v>
      </c>
    </row>
    <row r="411" customFormat="false" ht="15" hidden="false" customHeight="false" outlineLevel="0" collapsed="false">
      <c r="A411" s="88" t="s">
        <v>197</v>
      </c>
      <c r="B411" s="97" t="n">
        <v>1</v>
      </c>
      <c r="C411" s="88" t="s">
        <v>199</v>
      </c>
      <c r="D411" s="88" t="s">
        <v>402</v>
      </c>
      <c r="E411" s="98" t="n">
        <v>0</v>
      </c>
      <c r="F411" s="102" t="n">
        <f aca="false">$E411*Parametros!$C$22</f>
        <v>0</v>
      </c>
      <c r="G411" s="90"/>
      <c r="H411" s="102" t="n">
        <f aca="false">$E411*Parametros!$C$23</f>
        <v>0</v>
      </c>
      <c r="I411" s="90" t="n">
        <v>0.0935</v>
      </c>
    </row>
    <row r="412" customFormat="false" ht="15" hidden="false" customHeight="false" outlineLevel="0" collapsed="false">
      <c r="A412" s="88" t="s">
        <v>197</v>
      </c>
      <c r="B412" s="97" t="n">
        <v>1</v>
      </c>
      <c r="C412" s="88" t="s">
        <v>199</v>
      </c>
      <c r="D412" s="88" t="s">
        <v>468</v>
      </c>
      <c r="E412" s="98" t="n">
        <v>0</v>
      </c>
      <c r="F412" s="102" t="n">
        <f aca="false">$E412*Parametros!$C$22</f>
        <v>0</v>
      </c>
      <c r="G412" s="90"/>
      <c r="H412" s="102" t="n">
        <f aca="false">$E412*Parametros!$C$23</f>
        <v>0</v>
      </c>
      <c r="I412" s="90" t="n">
        <v>0.0518</v>
      </c>
    </row>
    <row r="413" customFormat="false" ht="15" hidden="false" customHeight="false" outlineLevel="0" collapsed="false">
      <c r="A413" s="88" t="s">
        <v>197</v>
      </c>
      <c r="B413" s="97" t="n">
        <v>1</v>
      </c>
      <c r="C413" s="88" t="s">
        <v>199</v>
      </c>
      <c r="D413" s="88" t="s">
        <v>469</v>
      </c>
      <c r="E413" s="98" t="n">
        <v>0</v>
      </c>
      <c r="F413" s="102" t="n">
        <f aca="false">$E413*Parametros!$C$22</f>
        <v>0</v>
      </c>
      <c r="G413" s="90"/>
      <c r="H413" s="102" t="n">
        <f aca="false">$E413*Parametros!$C$23</f>
        <v>0</v>
      </c>
      <c r="I413" s="90" t="n">
        <v>0.0959</v>
      </c>
    </row>
    <row r="414" customFormat="false" ht="15" hidden="false" customHeight="false" outlineLevel="0" collapsed="false">
      <c r="A414" s="88" t="s">
        <v>197</v>
      </c>
      <c r="B414" s="97" t="n">
        <v>1</v>
      </c>
      <c r="C414" s="88" t="s">
        <v>199</v>
      </c>
      <c r="D414" s="88" t="s">
        <v>439</v>
      </c>
      <c r="E414" s="98" t="n">
        <v>0</v>
      </c>
      <c r="F414" s="102" t="n">
        <f aca="false">$E414*Parametros!$C$22</f>
        <v>0</v>
      </c>
      <c r="G414" s="90"/>
      <c r="H414" s="102" t="n">
        <f aca="false">$E414*Parametros!$C$23</f>
        <v>0</v>
      </c>
      <c r="I414" s="90" t="n">
        <v>0.08</v>
      </c>
    </row>
    <row r="415" customFormat="false" ht="15" hidden="false" customHeight="false" outlineLevel="0" collapsed="false">
      <c r="A415" s="88" t="s">
        <v>197</v>
      </c>
      <c r="B415" s="97" t="n">
        <v>1</v>
      </c>
      <c r="C415" s="88" t="s">
        <v>199</v>
      </c>
      <c r="D415" s="88" t="s">
        <v>470</v>
      </c>
      <c r="E415" s="98" t="n">
        <v>0</v>
      </c>
      <c r="F415" s="102" t="n">
        <f aca="false">$E415*Parametros!$C$22</f>
        <v>0</v>
      </c>
      <c r="G415" s="90" t="n">
        <v>0.754</v>
      </c>
      <c r="H415" s="102" t="n">
        <f aca="false">$E415*Parametros!$C$23</f>
        <v>0</v>
      </c>
      <c r="I415" s="90" t="n">
        <v>0.0959</v>
      </c>
    </row>
    <row r="416" customFormat="false" ht="15" hidden="false" customHeight="false" outlineLevel="0" collapsed="false">
      <c r="A416" s="88" t="s">
        <v>197</v>
      </c>
      <c r="B416" s="97" t="n">
        <v>1</v>
      </c>
      <c r="C416" s="88" t="s">
        <v>199</v>
      </c>
      <c r="D416" s="88" t="s">
        <v>471</v>
      </c>
      <c r="E416" s="98" t="n">
        <v>0</v>
      </c>
      <c r="F416" s="102" t="n">
        <f aca="false">$E416*Parametros!$C$22</f>
        <v>0</v>
      </c>
      <c r="G416" s="90"/>
      <c r="H416" s="102" t="n">
        <f aca="false">$E416*Parametros!$C$23</f>
        <v>0</v>
      </c>
      <c r="I416" s="90" t="n">
        <v>0.0959</v>
      </c>
    </row>
    <row r="417" customFormat="false" ht="15" hidden="false" customHeight="false" outlineLevel="0" collapsed="false">
      <c r="A417" s="88" t="s">
        <v>197</v>
      </c>
      <c r="B417" s="97" t="n">
        <v>1</v>
      </c>
      <c r="C417" s="88" t="s">
        <v>199</v>
      </c>
      <c r="D417" s="88" t="s">
        <v>472</v>
      </c>
      <c r="E417" s="98" t="n">
        <v>0</v>
      </c>
      <c r="F417" s="102" t="n">
        <f aca="false">$E417*Parametros!$C$22</f>
        <v>0</v>
      </c>
      <c r="G417" s="90"/>
      <c r="H417" s="102" t="n">
        <f aca="false">$E417*Parametros!$C$23</f>
        <v>0</v>
      </c>
      <c r="I417" s="90" t="n">
        <v>0.0662</v>
      </c>
    </row>
    <row r="418" customFormat="false" ht="15" hidden="false" customHeight="false" outlineLevel="0" collapsed="false">
      <c r="A418" s="88" t="s">
        <v>197</v>
      </c>
      <c r="B418" s="97" t="n">
        <v>1</v>
      </c>
      <c r="C418" s="88" t="s">
        <v>199</v>
      </c>
      <c r="D418" s="88" t="s">
        <v>441</v>
      </c>
      <c r="E418" s="98" t="n">
        <v>0</v>
      </c>
      <c r="F418" s="102" t="n">
        <f aca="false">$E418*Parametros!$C$22</f>
        <v>0</v>
      </c>
      <c r="G418" s="90"/>
      <c r="H418" s="102" t="n">
        <f aca="false">$E418*Parametros!$C$23</f>
        <v>0</v>
      </c>
      <c r="I418" s="90" t="n">
        <v>0.0662</v>
      </c>
    </row>
    <row r="419" customFormat="false" ht="15" hidden="false" customHeight="false" outlineLevel="0" collapsed="false">
      <c r="A419" s="88" t="s">
        <v>197</v>
      </c>
      <c r="B419" s="97" t="n">
        <v>2</v>
      </c>
      <c r="C419" s="88" t="s">
        <v>200</v>
      </c>
      <c r="D419" s="88" t="s">
        <v>460</v>
      </c>
      <c r="E419" s="98" t="n">
        <v>0</v>
      </c>
      <c r="F419" s="102" t="n">
        <f aca="false">$E419*Parametros!$C$22</f>
        <v>0</v>
      </c>
      <c r="G419" s="90"/>
      <c r="H419" s="102" t="n">
        <f aca="false">$E419*Parametros!$C$23</f>
        <v>0</v>
      </c>
      <c r="I419" s="90" t="n">
        <v>0.0662</v>
      </c>
    </row>
    <row r="420" customFormat="false" ht="15" hidden="false" customHeight="false" outlineLevel="0" collapsed="false">
      <c r="A420" s="88" t="s">
        <v>197</v>
      </c>
      <c r="B420" s="97" t="n">
        <v>2</v>
      </c>
      <c r="C420" s="88" t="s">
        <v>200</v>
      </c>
      <c r="D420" s="88" t="s">
        <v>390</v>
      </c>
      <c r="E420" s="98" t="n">
        <v>0</v>
      </c>
      <c r="F420" s="102" t="n">
        <f aca="false">$E420*Parametros!$C$22</f>
        <v>0</v>
      </c>
      <c r="G420" s="90"/>
      <c r="H420" s="102" t="n">
        <f aca="false">$E420*Parametros!$C$23</f>
        <v>0</v>
      </c>
      <c r="I420" s="90" t="n">
        <v>0.0662</v>
      </c>
    </row>
    <row r="421" customFormat="false" ht="15" hidden="false" customHeight="false" outlineLevel="0" collapsed="false">
      <c r="A421" s="88" t="s">
        <v>197</v>
      </c>
      <c r="B421" s="97" t="n">
        <v>2</v>
      </c>
      <c r="C421" s="88" t="s">
        <v>200</v>
      </c>
      <c r="D421" s="88" t="s">
        <v>461</v>
      </c>
      <c r="E421" s="98" t="n">
        <v>0</v>
      </c>
      <c r="F421" s="102" t="n">
        <f aca="false">$E421*Parametros!$C$22</f>
        <v>0</v>
      </c>
      <c r="G421" s="90"/>
      <c r="H421" s="102" t="n">
        <f aca="false">$E421*Parametros!$C$23</f>
        <v>0</v>
      </c>
      <c r="I421" s="90" t="n">
        <v>0.0509</v>
      </c>
    </row>
    <row r="422" customFormat="false" ht="15" hidden="false" customHeight="false" outlineLevel="0" collapsed="false">
      <c r="A422" s="88" t="s">
        <v>197</v>
      </c>
      <c r="B422" s="97" t="n">
        <v>2</v>
      </c>
      <c r="C422" s="88" t="s">
        <v>200</v>
      </c>
      <c r="D422" s="88" t="s">
        <v>462</v>
      </c>
      <c r="E422" s="98" t="n">
        <v>0</v>
      </c>
      <c r="F422" s="102" t="n">
        <f aca="false">$E422*Parametros!$C$22</f>
        <v>0</v>
      </c>
      <c r="G422" s="90" t="n">
        <v>0.61</v>
      </c>
      <c r="H422" s="102" t="n">
        <f aca="false">$E422*Parametros!$C$23</f>
        <v>0</v>
      </c>
      <c r="I422" s="90" t="n">
        <v>0.0946</v>
      </c>
    </row>
    <row r="423" customFormat="false" ht="15" hidden="false" customHeight="false" outlineLevel="0" collapsed="false">
      <c r="A423" s="88" t="s">
        <v>197</v>
      </c>
      <c r="B423" s="97" t="n">
        <v>2</v>
      </c>
      <c r="C423" s="88" t="s">
        <v>200</v>
      </c>
      <c r="D423" s="88" t="s">
        <v>463</v>
      </c>
      <c r="E423" s="98" t="n">
        <v>0</v>
      </c>
      <c r="F423" s="102" t="n">
        <f aca="false">$E423*Parametros!$C$22</f>
        <v>0</v>
      </c>
      <c r="G423" s="90"/>
      <c r="H423" s="102" t="n">
        <f aca="false">$E423*Parametros!$C$23</f>
        <v>0</v>
      </c>
      <c r="I423" s="90" t="n">
        <v>0.09</v>
      </c>
    </row>
    <row r="424" customFormat="false" ht="15" hidden="false" customHeight="false" outlineLevel="0" collapsed="false">
      <c r="A424" s="88" t="s">
        <v>197</v>
      </c>
      <c r="B424" s="97" t="n">
        <v>2</v>
      </c>
      <c r="C424" s="88" t="s">
        <v>200</v>
      </c>
      <c r="D424" s="88" t="s">
        <v>464</v>
      </c>
      <c r="E424" s="98" t="n">
        <v>0</v>
      </c>
      <c r="F424" s="102" t="n">
        <f aca="false">$E424*Parametros!$C$22</f>
        <v>0</v>
      </c>
      <c r="G424" s="90" t="n">
        <v>0.25</v>
      </c>
      <c r="H424" s="102" t="n">
        <f aca="false">$E424*Parametros!$C$23</f>
        <v>0</v>
      </c>
      <c r="I424" s="90" t="n">
        <v>0.0946</v>
      </c>
    </row>
    <row r="425" customFormat="false" ht="15" hidden="false" customHeight="false" outlineLevel="0" collapsed="false">
      <c r="A425" s="88" t="s">
        <v>197</v>
      </c>
      <c r="B425" s="97" t="n">
        <v>2</v>
      </c>
      <c r="C425" s="88" t="s">
        <v>200</v>
      </c>
      <c r="D425" s="88" t="s">
        <v>465</v>
      </c>
      <c r="E425" s="98" t="n">
        <v>0</v>
      </c>
      <c r="F425" s="102" t="n">
        <f aca="false">$E425*Parametros!$C$22</f>
        <v>0</v>
      </c>
      <c r="G425" s="90" t="n">
        <v>0.51</v>
      </c>
      <c r="H425" s="102" t="n">
        <f aca="false">$E425*Parametros!$C$23</f>
        <v>0</v>
      </c>
      <c r="I425" s="90" t="n">
        <v>0.0946</v>
      </c>
    </row>
    <row r="426" customFormat="false" ht="15" hidden="false" customHeight="false" outlineLevel="0" collapsed="false">
      <c r="A426" s="88" t="s">
        <v>197</v>
      </c>
      <c r="B426" s="97" t="n">
        <v>2</v>
      </c>
      <c r="C426" s="88" t="s">
        <v>200</v>
      </c>
      <c r="D426" s="88" t="s">
        <v>451</v>
      </c>
      <c r="E426" s="98" t="n">
        <v>0</v>
      </c>
      <c r="F426" s="102" t="n">
        <f aca="false">$E426*Parametros!$C$22</f>
        <v>0</v>
      </c>
      <c r="G426" s="90" t="n">
        <v>1.7</v>
      </c>
      <c r="H426" s="102" t="n">
        <f aca="false">$E426*Parametros!$C$23</f>
        <v>0</v>
      </c>
      <c r="I426" s="90" t="n">
        <v>0.0946</v>
      </c>
    </row>
    <row r="427" customFormat="false" ht="15" hidden="false" customHeight="false" outlineLevel="0" collapsed="false">
      <c r="A427" s="88" t="s">
        <v>197</v>
      </c>
      <c r="B427" s="97" t="n">
        <v>2</v>
      </c>
      <c r="C427" s="88" t="s">
        <v>200</v>
      </c>
      <c r="D427" s="88" t="s">
        <v>466</v>
      </c>
      <c r="E427" s="98" t="n">
        <v>0</v>
      </c>
      <c r="F427" s="102" t="n">
        <f aca="false">$E427*Parametros!$C$22</f>
        <v>0</v>
      </c>
      <c r="G427" s="90"/>
      <c r="H427" s="102" t="n">
        <f aca="false">$E427*Parametros!$C$23</f>
        <v>0</v>
      </c>
      <c r="I427" s="90" t="n">
        <v>0.0935</v>
      </c>
    </row>
    <row r="428" customFormat="false" ht="15" hidden="false" customHeight="false" outlineLevel="0" collapsed="false">
      <c r="A428" s="88" t="s">
        <v>197</v>
      </c>
      <c r="B428" s="97" t="n">
        <v>2</v>
      </c>
      <c r="C428" s="88" t="s">
        <v>200</v>
      </c>
      <c r="D428" s="88" t="s">
        <v>467</v>
      </c>
      <c r="E428" s="98" t="n">
        <v>0</v>
      </c>
      <c r="F428" s="102" t="n">
        <f aca="false">$E428*Parametros!$C$22</f>
        <v>0</v>
      </c>
      <c r="G428" s="90" t="n">
        <v>0.461</v>
      </c>
      <c r="H428" s="102" t="n">
        <f aca="false">$E428*Parametros!$C$23</f>
        <v>0</v>
      </c>
      <c r="I428" s="90" t="n">
        <v>0.0946</v>
      </c>
    </row>
    <row r="429" customFormat="false" ht="15" hidden="false" customHeight="false" outlineLevel="0" collapsed="false">
      <c r="A429" s="88" t="s">
        <v>197</v>
      </c>
      <c r="B429" s="97" t="n">
        <v>2</v>
      </c>
      <c r="C429" s="88" t="s">
        <v>200</v>
      </c>
      <c r="D429" s="88" t="s">
        <v>402</v>
      </c>
      <c r="E429" s="98" t="n">
        <v>0</v>
      </c>
      <c r="F429" s="102" t="n">
        <f aca="false">$E429*Parametros!$C$22</f>
        <v>0</v>
      </c>
      <c r="G429" s="90"/>
      <c r="H429" s="102" t="n">
        <f aca="false">$E429*Parametros!$C$23</f>
        <v>0</v>
      </c>
      <c r="I429" s="90" t="n">
        <v>0.0935</v>
      </c>
    </row>
    <row r="430" customFormat="false" ht="15" hidden="false" customHeight="false" outlineLevel="0" collapsed="false">
      <c r="A430" s="88" t="s">
        <v>197</v>
      </c>
      <c r="B430" s="97" t="n">
        <v>2</v>
      </c>
      <c r="C430" s="88" t="s">
        <v>200</v>
      </c>
      <c r="D430" s="88" t="s">
        <v>468</v>
      </c>
      <c r="E430" s="98" t="n">
        <v>0</v>
      </c>
      <c r="F430" s="102" t="n">
        <f aca="false">$E430*Parametros!$C$22</f>
        <v>0</v>
      </c>
      <c r="G430" s="90"/>
      <c r="H430" s="102" t="n">
        <f aca="false">$E430*Parametros!$C$23</f>
        <v>0</v>
      </c>
      <c r="I430" s="90" t="n">
        <v>0.397</v>
      </c>
    </row>
    <row r="431" customFormat="false" ht="15" hidden="false" customHeight="false" outlineLevel="0" collapsed="false">
      <c r="A431" s="88" t="s">
        <v>197</v>
      </c>
      <c r="B431" s="97" t="n">
        <v>2</v>
      </c>
      <c r="C431" s="88" t="s">
        <v>200</v>
      </c>
      <c r="D431" s="88" t="s">
        <v>469</v>
      </c>
      <c r="E431" s="98" t="n">
        <v>0</v>
      </c>
      <c r="F431" s="102" t="n">
        <f aca="false">$E431*Parametros!$C$22</f>
        <v>0</v>
      </c>
      <c r="G431" s="90"/>
      <c r="H431" s="102" t="n">
        <f aca="false">$E431*Parametros!$C$23</f>
        <v>0</v>
      </c>
      <c r="I431" s="90" t="n">
        <v>0.0959</v>
      </c>
    </row>
    <row r="432" customFormat="false" ht="15" hidden="false" customHeight="false" outlineLevel="0" collapsed="false">
      <c r="A432" s="88" t="s">
        <v>197</v>
      </c>
      <c r="B432" s="97" t="n">
        <v>2</v>
      </c>
      <c r="C432" s="88" t="s">
        <v>200</v>
      </c>
      <c r="D432" s="88" t="s">
        <v>439</v>
      </c>
      <c r="E432" s="98" t="n">
        <v>0</v>
      </c>
      <c r="F432" s="102" t="n">
        <f aca="false">$E432*Parametros!$C$22</f>
        <v>0</v>
      </c>
      <c r="G432" s="90"/>
      <c r="H432" s="102" t="n">
        <f aca="false">$E432*Parametros!$C$23</f>
        <v>0</v>
      </c>
      <c r="I432" s="90" t="n">
        <v>0.06</v>
      </c>
    </row>
    <row r="433" customFormat="false" ht="15" hidden="false" customHeight="false" outlineLevel="0" collapsed="false">
      <c r="A433" s="88" t="s">
        <v>197</v>
      </c>
      <c r="B433" s="97" t="n">
        <v>2</v>
      </c>
      <c r="C433" s="88" t="s">
        <v>200</v>
      </c>
      <c r="D433" s="88" t="s">
        <v>470</v>
      </c>
      <c r="E433" s="98" t="n">
        <v>0</v>
      </c>
      <c r="F433" s="102" t="n">
        <f aca="false">$E433*Parametros!$C$22</f>
        <v>0</v>
      </c>
      <c r="G433" s="90" t="n">
        <v>0.486</v>
      </c>
      <c r="H433" s="102" t="n">
        <f aca="false">$E433*Parametros!$C$23</f>
        <v>0</v>
      </c>
      <c r="I433" s="90" t="n">
        <v>0.0959</v>
      </c>
    </row>
    <row r="434" customFormat="false" ht="15" hidden="false" customHeight="false" outlineLevel="0" collapsed="false">
      <c r="A434" s="88" t="s">
        <v>197</v>
      </c>
      <c r="B434" s="97" t="n">
        <v>2</v>
      </c>
      <c r="C434" s="88" t="s">
        <v>200</v>
      </c>
      <c r="D434" s="88" t="s">
        <v>471</v>
      </c>
      <c r="E434" s="98" t="n">
        <v>0</v>
      </c>
      <c r="F434" s="102" t="n">
        <f aca="false">$E434*Parametros!$C$22</f>
        <v>0</v>
      </c>
      <c r="G434" s="90"/>
      <c r="H434" s="102" t="n">
        <f aca="false">$E434*Parametros!$C$23</f>
        <v>0</v>
      </c>
      <c r="I434" s="90" t="n">
        <v>0.0959</v>
      </c>
    </row>
    <row r="435" customFormat="false" ht="15" hidden="false" customHeight="false" outlineLevel="0" collapsed="false">
      <c r="A435" s="88" t="s">
        <v>197</v>
      </c>
      <c r="B435" s="97" t="n">
        <v>2</v>
      </c>
      <c r="C435" s="88" t="s">
        <v>200</v>
      </c>
      <c r="D435" s="88" t="s">
        <v>472</v>
      </c>
      <c r="E435" s="98" t="n">
        <v>0</v>
      </c>
      <c r="F435" s="102" t="n">
        <f aca="false">$E435*Parametros!$C$22</f>
        <v>0</v>
      </c>
      <c r="G435" s="90"/>
      <c r="H435" s="102" t="n">
        <f aca="false">$E435*Parametros!$C$23</f>
        <v>0</v>
      </c>
      <c r="I435" s="90" t="n">
        <v>0.0662</v>
      </c>
    </row>
    <row r="436" customFormat="false" ht="15" hidden="false" customHeight="false" outlineLevel="0" collapsed="false">
      <c r="A436" s="88" t="s">
        <v>197</v>
      </c>
      <c r="B436" s="97" t="n">
        <v>2</v>
      </c>
      <c r="C436" s="88" t="s">
        <v>200</v>
      </c>
      <c r="D436" s="88" t="s">
        <v>441</v>
      </c>
      <c r="E436" s="98" t="n">
        <v>0</v>
      </c>
      <c r="F436" s="102" t="n">
        <f aca="false">$E436*Parametros!$C$22</f>
        <v>0</v>
      </c>
      <c r="G436" s="90"/>
      <c r="H436" s="102" t="n">
        <f aca="false">$E436*Parametros!$C$23</f>
        <v>0</v>
      </c>
      <c r="I436" s="90" t="n">
        <v>0.0662</v>
      </c>
    </row>
    <row r="437" customFormat="false" ht="15" hidden="false" customHeight="false" outlineLevel="0" collapsed="false">
      <c r="A437" s="88" t="s">
        <v>197</v>
      </c>
      <c r="B437" s="97" t="n">
        <v>3</v>
      </c>
      <c r="C437" s="88" t="s">
        <v>473</v>
      </c>
      <c r="D437" s="88" t="s">
        <v>460</v>
      </c>
      <c r="E437" s="98" t="n">
        <v>119.01</v>
      </c>
      <c r="F437" s="102" t="n">
        <f aca="false">$E437*Parametros!$C$22</f>
        <v>571.248</v>
      </c>
      <c r="G437" s="90"/>
      <c r="H437" s="102" t="n">
        <f aca="false">$E437*Parametros!$C$23</f>
        <v>71.406</v>
      </c>
      <c r="I437" s="90" t="n">
        <v>0.0662</v>
      </c>
    </row>
    <row r="438" customFormat="false" ht="15" hidden="false" customHeight="false" outlineLevel="0" collapsed="false">
      <c r="A438" s="88" t="s">
        <v>197</v>
      </c>
      <c r="B438" s="97" t="n">
        <v>3</v>
      </c>
      <c r="C438" s="88" t="s">
        <v>473</v>
      </c>
      <c r="D438" s="88" t="s">
        <v>390</v>
      </c>
      <c r="E438" s="98" t="n">
        <v>119.01</v>
      </c>
      <c r="F438" s="102" t="n">
        <f aca="false">$E438*Parametros!$C$22</f>
        <v>571.248</v>
      </c>
      <c r="G438" s="90"/>
      <c r="H438" s="102" t="n">
        <f aca="false">$E438*Parametros!$C$23</f>
        <v>71.406</v>
      </c>
      <c r="I438" s="90" t="n">
        <v>0.0662</v>
      </c>
    </row>
    <row r="439" customFormat="false" ht="15" hidden="false" customHeight="false" outlineLevel="0" collapsed="false">
      <c r="A439" s="88" t="s">
        <v>197</v>
      </c>
      <c r="B439" s="97" t="n">
        <v>3</v>
      </c>
      <c r="C439" s="88" t="s">
        <v>473</v>
      </c>
      <c r="D439" s="88" t="s">
        <v>461</v>
      </c>
      <c r="E439" s="98" t="n">
        <v>119.01</v>
      </c>
      <c r="F439" s="102" t="n">
        <f aca="false">$E439*Parametros!$C$22</f>
        <v>571.248</v>
      </c>
      <c r="G439" s="90"/>
      <c r="H439" s="102" t="n">
        <f aca="false">$E439*Parametros!$C$23</f>
        <v>71.406</v>
      </c>
      <c r="I439" s="90" t="n">
        <v>0.0509</v>
      </c>
    </row>
    <row r="440" customFormat="false" ht="15" hidden="false" customHeight="false" outlineLevel="0" collapsed="false">
      <c r="A440" s="88" t="s">
        <v>197</v>
      </c>
      <c r="B440" s="97" t="n">
        <v>3</v>
      </c>
      <c r="C440" s="88" t="s">
        <v>473</v>
      </c>
      <c r="D440" s="88" t="s">
        <v>462</v>
      </c>
      <c r="E440" s="98" t="n">
        <v>119.01</v>
      </c>
      <c r="F440" s="102" t="n">
        <f aca="false">$E440*Parametros!$C$22</f>
        <v>571.248</v>
      </c>
      <c r="G440" s="90" t="n">
        <v>0.545</v>
      </c>
      <c r="H440" s="102" t="n">
        <f aca="false">$E440*Parametros!$C$23</f>
        <v>71.406</v>
      </c>
      <c r="I440" s="90" t="n">
        <v>0.0946</v>
      </c>
    </row>
    <row r="441" customFormat="false" ht="15" hidden="false" customHeight="false" outlineLevel="0" collapsed="false">
      <c r="A441" s="88" t="s">
        <v>197</v>
      </c>
      <c r="B441" s="97" t="n">
        <v>3</v>
      </c>
      <c r="C441" s="88" t="s">
        <v>473</v>
      </c>
      <c r="D441" s="88" t="s">
        <v>463</v>
      </c>
      <c r="E441" s="98" t="n">
        <v>119.01</v>
      </c>
      <c r="F441" s="102" t="n">
        <f aca="false">$E441*Parametros!$C$22</f>
        <v>571.248</v>
      </c>
      <c r="G441" s="90"/>
      <c r="H441" s="102" t="n">
        <f aca="false">$E441*Parametros!$C$23</f>
        <v>71.406</v>
      </c>
      <c r="I441" s="90" t="n">
        <v>0.0662</v>
      </c>
    </row>
    <row r="442" customFormat="false" ht="15" hidden="false" customHeight="false" outlineLevel="0" collapsed="false">
      <c r="A442" s="88" t="s">
        <v>197</v>
      </c>
      <c r="B442" s="97" t="n">
        <v>3</v>
      </c>
      <c r="C442" s="88" t="s">
        <v>473</v>
      </c>
      <c r="D442" s="88" t="s">
        <v>464</v>
      </c>
      <c r="E442" s="98" t="n">
        <v>119.01</v>
      </c>
      <c r="F442" s="102" t="n">
        <f aca="false">$E442*Parametros!$C$22</f>
        <v>571.248</v>
      </c>
      <c r="G442" s="90"/>
      <c r="H442" s="102" t="n">
        <f aca="false">$E442*Parametros!$C$23</f>
        <v>71.406</v>
      </c>
      <c r="I442" s="90" t="n">
        <v>0.0946</v>
      </c>
    </row>
    <row r="443" customFormat="false" ht="15" hidden="false" customHeight="false" outlineLevel="0" collapsed="false">
      <c r="A443" s="88" t="s">
        <v>197</v>
      </c>
      <c r="B443" s="97" t="n">
        <v>3</v>
      </c>
      <c r="C443" s="88" t="s">
        <v>473</v>
      </c>
      <c r="D443" s="88" t="s">
        <v>465</v>
      </c>
      <c r="E443" s="98" t="n">
        <v>119.01</v>
      </c>
      <c r="F443" s="102" t="n">
        <f aca="false">$E443*Parametros!$C$22</f>
        <v>571.248</v>
      </c>
      <c r="G443" s="90" t="n">
        <v>0.662</v>
      </c>
      <c r="H443" s="102" t="n">
        <f aca="false">$E443*Parametros!$C$23</f>
        <v>71.406</v>
      </c>
      <c r="I443" s="90" t="n">
        <v>0.0946</v>
      </c>
    </row>
    <row r="444" customFormat="false" ht="15" hidden="false" customHeight="false" outlineLevel="0" collapsed="false">
      <c r="A444" s="88" t="s">
        <v>197</v>
      </c>
      <c r="B444" s="97" t="n">
        <v>3</v>
      </c>
      <c r="C444" s="88" t="s">
        <v>473</v>
      </c>
      <c r="D444" s="88" t="s">
        <v>451</v>
      </c>
      <c r="E444" s="98" t="n">
        <v>119.01</v>
      </c>
      <c r="F444" s="102" t="n">
        <f aca="false">$E444*Parametros!$C$22</f>
        <v>571.248</v>
      </c>
      <c r="G444" s="90" t="n">
        <v>2.7</v>
      </c>
      <c r="H444" s="102" t="n">
        <f aca="false">$E444*Parametros!$C$23</f>
        <v>71.406</v>
      </c>
      <c r="I444" s="90" t="n">
        <v>0.0946</v>
      </c>
    </row>
    <row r="445" customFormat="false" ht="15" hidden="false" customHeight="false" outlineLevel="0" collapsed="false">
      <c r="A445" s="88" t="s">
        <v>197</v>
      </c>
      <c r="B445" s="97" t="n">
        <v>3</v>
      </c>
      <c r="C445" s="88" t="s">
        <v>473</v>
      </c>
      <c r="D445" s="88" t="s">
        <v>466</v>
      </c>
      <c r="E445" s="98" t="n">
        <v>119.01</v>
      </c>
      <c r="F445" s="102" t="n">
        <f aca="false">$E445*Parametros!$C$22</f>
        <v>571.248</v>
      </c>
      <c r="G445" s="90"/>
      <c r="H445" s="102" t="n">
        <f aca="false">$E445*Parametros!$C$23</f>
        <v>71.406</v>
      </c>
      <c r="I445" s="90" t="n">
        <v>0.0935</v>
      </c>
    </row>
    <row r="446" customFormat="false" ht="15" hidden="false" customHeight="false" outlineLevel="0" collapsed="false">
      <c r="A446" s="88" t="s">
        <v>197</v>
      </c>
      <c r="B446" s="97" t="n">
        <v>3</v>
      </c>
      <c r="C446" s="88" t="s">
        <v>473</v>
      </c>
      <c r="D446" s="88" t="s">
        <v>467</v>
      </c>
      <c r="E446" s="98" t="n">
        <v>119.01</v>
      </c>
      <c r="F446" s="102" t="n">
        <f aca="false">$E446*Parametros!$C$22</f>
        <v>571.248</v>
      </c>
      <c r="G446" s="90" t="n">
        <v>0.463</v>
      </c>
      <c r="H446" s="102" t="n">
        <f aca="false">$E446*Parametros!$C$23</f>
        <v>71.406</v>
      </c>
      <c r="I446" s="90" t="n">
        <v>0.0946</v>
      </c>
    </row>
    <row r="447" customFormat="false" ht="15" hidden="false" customHeight="false" outlineLevel="0" collapsed="false">
      <c r="A447" s="88" t="s">
        <v>197</v>
      </c>
      <c r="B447" s="97" t="n">
        <v>3</v>
      </c>
      <c r="C447" s="88" t="s">
        <v>473</v>
      </c>
      <c r="D447" s="88" t="s">
        <v>402</v>
      </c>
      <c r="E447" s="98" t="n">
        <v>119.01</v>
      </c>
      <c r="F447" s="102" t="n">
        <f aca="false">$E447*Parametros!$C$22</f>
        <v>571.248</v>
      </c>
      <c r="G447" s="90"/>
      <c r="H447" s="102" t="n">
        <f aca="false">$E447*Parametros!$C$23</f>
        <v>71.406</v>
      </c>
      <c r="I447" s="90" t="n">
        <v>0.0935</v>
      </c>
    </row>
    <row r="448" customFormat="false" ht="15" hidden="false" customHeight="false" outlineLevel="0" collapsed="false">
      <c r="A448" s="88" t="s">
        <v>197</v>
      </c>
      <c r="B448" s="97" t="n">
        <v>3</v>
      </c>
      <c r="C448" s="88" t="s">
        <v>473</v>
      </c>
      <c r="D448" s="88" t="s">
        <v>468</v>
      </c>
      <c r="E448" s="98" t="n">
        <v>119.01</v>
      </c>
      <c r="F448" s="102" t="n">
        <f aca="false">$E448*Parametros!$C$22</f>
        <v>571.248</v>
      </c>
      <c r="G448" s="90"/>
      <c r="H448" s="102" t="n">
        <f aca="false">$E448*Parametros!$C$23</f>
        <v>71.406</v>
      </c>
      <c r="I448" s="90" t="n">
        <v>0.141</v>
      </c>
    </row>
    <row r="449" customFormat="false" ht="15" hidden="false" customHeight="false" outlineLevel="0" collapsed="false">
      <c r="A449" s="88" t="s">
        <v>197</v>
      </c>
      <c r="B449" s="97" t="n">
        <v>3</v>
      </c>
      <c r="C449" s="88" t="s">
        <v>473</v>
      </c>
      <c r="D449" s="88" t="s">
        <v>469</v>
      </c>
      <c r="E449" s="98" t="n">
        <v>119.01</v>
      </c>
      <c r="F449" s="102" t="n">
        <f aca="false">$E449*Parametros!$C$22</f>
        <v>571.248</v>
      </c>
      <c r="G449" s="90"/>
      <c r="H449" s="102" t="n">
        <f aca="false">$E449*Parametros!$C$23</f>
        <v>71.406</v>
      </c>
      <c r="I449" s="90" t="n">
        <v>0.0959</v>
      </c>
    </row>
    <row r="450" customFormat="false" ht="15" hidden="false" customHeight="false" outlineLevel="0" collapsed="false">
      <c r="A450" s="88" t="s">
        <v>197</v>
      </c>
      <c r="B450" s="97" t="n">
        <v>3</v>
      </c>
      <c r="C450" s="88" t="s">
        <v>473</v>
      </c>
      <c r="D450" s="88" t="s">
        <v>439</v>
      </c>
      <c r="E450" s="98" t="n">
        <v>119.01</v>
      </c>
      <c r="F450" s="102" t="n">
        <f aca="false">$E450*Parametros!$C$22</f>
        <v>571.248</v>
      </c>
      <c r="G450" s="90"/>
      <c r="H450" s="102" t="n">
        <f aca="false">$E450*Parametros!$C$23</f>
        <v>71.406</v>
      </c>
      <c r="I450" s="90" t="n">
        <v>0.0509</v>
      </c>
    </row>
    <row r="451" customFormat="false" ht="15" hidden="false" customHeight="false" outlineLevel="0" collapsed="false">
      <c r="A451" s="88" t="s">
        <v>197</v>
      </c>
      <c r="B451" s="97" t="n">
        <v>3</v>
      </c>
      <c r="C451" s="88" t="s">
        <v>473</v>
      </c>
      <c r="D451" s="88" t="s">
        <v>470</v>
      </c>
      <c r="E451" s="98" t="n">
        <v>119.01</v>
      </c>
      <c r="F451" s="102" t="n">
        <f aca="false">$E451*Parametros!$C$22</f>
        <v>571.248</v>
      </c>
      <c r="G451" s="90" t="n">
        <v>0.552</v>
      </c>
      <c r="H451" s="102" t="n">
        <f aca="false">$E451*Parametros!$C$23</f>
        <v>71.406</v>
      </c>
      <c r="I451" s="90" t="n">
        <v>0.0959</v>
      </c>
    </row>
    <row r="452" customFormat="false" ht="15" hidden="false" customHeight="false" outlineLevel="0" collapsed="false">
      <c r="A452" s="88" t="s">
        <v>197</v>
      </c>
      <c r="B452" s="97" t="n">
        <v>3</v>
      </c>
      <c r="C452" s="88" t="s">
        <v>473</v>
      </c>
      <c r="D452" s="88" t="s">
        <v>471</v>
      </c>
      <c r="E452" s="98" t="n">
        <v>119.01</v>
      </c>
      <c r="F452" s="102" t="n">
        <f aca="false">$E452*Parametros!$C$22</f>
        <v>571.248</v>
      </c>
      <c r="G452" s="90"/>
      <c r="H452" s="102" t="n">
        <f aca="false">$E452*Parametros!$C$23</f>
        <v>71.406</v>
      </c>
      <c r="I452" s="90" t="n">
        <v>0.0959</v>
      </c>
    </row>
    <row r="453" customFormat="false" ht="15" hidden="false" customHeight="false" outlineLevel="0" collapsed="false">
      <c r="A453" s="88" t="s">
        <v>197</v>
      </c>
      <c r="B453" s="97" t="n">
        <v>3</v>
      </c>
      <c r="C453" s="88" t="s">
        <v>473</v>
      </c>
      <c r="D453" s="88" t="s">
        <v>472</v>
      </c>
      <c r="E453" s="98" t="n">
        <v>119.01</v>
      </c>
      <c r="F453" s="102" t="n">
        <f aca="false">$E453*Parametros!$C$22</f>
        <v>571.248</v>
      </c>
      <c r="G453" s="90"/>
      <c r="H453" s="102" t="n">
        <f aca="false">$E453*Parametros!$C$23</f>
        <v>71.406</v>
      </c>
      <c r="I453" s="90" t="n">
        <v>0.0662</v>
      </c>
    </row>
    <row r="454" customFormat="false" ht="15" hidden="false" customHeight="false" outlineLevel="0" collapsed="false">
      <c r="A454" s="88" t="s">
        <v>197</v>
      </c>
      <c r="B454" s="97" t="n">
        <v>3</v>
      </c>
      <c r="C454" s="88" t="s">
        <v>473</v>
      </c>
      <c r="D454" s="88" t="s">
        <v>441</v>
      </c>
      <c r="E454" s="98" t="n">
        <v>119.01</v>
      </c>
      <c r="F454" s="102" t="n">
        <f aca="false">$E454*Parametros!$C$22</f>
        <v>571.248</v>
      </c>
      <c r="G454" s="90"/>
      <c r="H454" s="102" t="n">
        <f aca="false">$E454*Parametros!$C$23</f>
        <v>71.406</v>
      </c>
      <c r="I454" s="90" t="n">
        <v>0.0662</v>
      </c>
    </row>
    <row r="455" customFormat="false" ht="15" hidden="false" customHeight="false" outlineLevel="0" collapsed="false">
      <c r="A455" s="88" t="s">
        <v>197</v>
      </c>
      <c r="B455" s="97" t="n">
        <v>4</v>
      </c>
      <c r="C455" s="88" t="s">
        <v>474</v>
      </c>
      <c r="D455" s="88" t="s">
        <v>460</v>
      </c>
      <c r="E455" s="98" t="n">
        <v>504.77</v>
      </c>
      <c r="F455" s="102" t="n">
        <f aca="false">$E455*Parametros!$C$22</f>
        <v>2422.896</v>
      </c>
      <c r="G455" s="90"/>
      <c r="H455" s="102" t="n">
        <f aca="false">$E455*Parametros!$C$23</f>
        <v>302.862</v>
      </c>
      <c r="I455" s="90" t="n">
        <v>0.0662</v>
      </c>
    </row>
    <row r="456" customFormat="false" ht="15" hidden="false" customHeight="false" outlineLevel="0" collapsed="false">
      <c r="A456" s="88" t="s">
        <v>197</v>
      </c>
      <c r="B456" s="97" t="n">
        <v>4</v>
      </c>
      <c r="C456" s="88" t="s">
        <v>474</v>
      </c>
      <c r="D456" s="88" t="s">
        <v>390</v>
      </c>
      <c r="E456" s="98" t="n">
        <v>504.77</v>
      </c>
      <c r="F456" s="102" t="n">
        <f aca="false">$E456*Parametros!$C$22</f>
        <v>2422.896</v>
      </c>
      <c r="G456" s="90"/>
      <c r="H456" s="102" t="n">
        <f aca="false">$E456*Parametros!$C$23</f>
        <v>302.862</v>
      </c>
      <c r="I456" s="90" t="n">
        <v>0.0662</v>
      </c>
    </row>
    <row r="457" customFormat="false" ht="15" hidden="false" customHeight="false" outlineLevel="0" collapsed="false">
      <c r="A457" s="88" t="s">
        <v>197</v>
      </c>
      <c r="B457" s="97" t="n">
        <v>4</v>
      </c>
      <c r="C457" s="88" t="s">
        <v>474</v>
      </c>
      <c r="D457" s="88" t="s">
        <v>461</v>
      </c>
      <c r="E457" s="98" t="n">
        <v>504.77</v>
      </c>
      <c r="F457" s="102" t="n">
        <f aca="false">$E457*Parametros!$C$22</f>
        <v>2422.896</v>
      </c>
      <c r="G457" s="90"/>
      <c r="H457" s="102" t="n">
        <f aca="false">$E457*Parametros!$C$23</f>
        <v>302.862</v>
      </c>
      <c r="I457" s="90" t="n">
        <v>0.0509</v>
      </c>
    </row>
    <row r="458" customFormat="false" ht="15" hidden="false" customHeight="false" outlineLevel="0" collapsed="false">
      <c r="A458" s="88" t="s">
        <v>197</v>
      </c>
      <c r="B458" s="97" t="n">
        <v>4</v>
      </c>
      <c r="C458" s="88" t="s">
        <v>474</v>
      </c>
      <c r="D458" s="88" t="s">
        <v>462</v>
      </c>
      <c r="E458" s="98" t="n">
        <v>504.77</v>
      </c>
      <c r="F458" s="102" t="n">
        <f aca="false">$E458*Parametros!$C$22</f>
        <v>2422.896</v>
      </c>
      <c r="G458" s="90" t="n">
        <v>0.697</v>
      </c>
      <c r="H458" s="102" t="n">
        <f aca="false">$E458*Parametros!$C$23</f>
        <v>302.862</v>
      </c>
      <c r="I458" s="90" t="n">
        <v>0.0946</v>
      </c>
    </row>
    <row r="459" customFormat="false" ht="15" hidden="false" customHeight="false" outlineLevel="0" collapsed="false">
      <c r="A459" s="88" t="s">
        <v>197</v>
      </c>
      <c r="B459" s="97" t="n">
        <v>4</v>
      </c>
      <c r="C459" s="88" t="s">
        <v>474</v>
      </c>
      <c r="D459" s="88" t="s">
        <v>464</v>
      </c>
      <c r="E459" s="98" t="n">
        <v>504.77</v>
      </c>
      <c r="F459" s="102" t="n">
        <f aca="false">$E459*Parametros!$C$22</f>
        <v>2422.896</v>
      </c>
      <c r="G459" s="90"/>
      <c r="H459" s="102" t="n">
        <f aca="false">$E459*Parametros!$C$23</f>
        <v>302.862</v>
      </c>
      <c r="I459" s="90" t="n">
        <v>0.0946</v>
      </c>
    </row>
    <row r="460" customFormat="false" ht="15" hidden="false" customHeight="false" outlineLevel="0" collapsed="false">
      <c r="A460" s="88" t="s">
        <v>197</v>
      </c>
      <c r="B460" s="97" t="n">
        <v>4</v>
      </c>
      <c r="C460" s="88" t="s">
        <v>474</v>
      </c>
      <c r="D460" s="88" t="s">
        <v>465</v>
      </c>
      <c r="E460" s="98" t="n">
        <v>504.77</v>
      </c>
      <c r="F460" s="102" t="n">
        <f aca="false">$E460*Parametros!$C$22</f>
        <v>2422.896</v>
      </c>
      <c r="G460" s="90" t="n">
        <v>0.679</v>
      </c>
      <c r="H460" s="102" t="n">
        <f aca="false">$E460*Parametros!$C$23</f>
        <v>302.862</v>
      </c>
      <c r="I460" s="90" t="n">
        <v>0.0946</v>
      </c>
    </row>
    <row r="461" customFormat="false" ht="15" hidden="false" customHeight="false" outlineLevel="0" collapsed="false">
      <c r="A461" s="88" t="s">
        <v>197</v>
      </c>
      <c r="B461" s="97" t="n">
        <v>4</v>
      </c>
      <c r="C461" s="88" t="s">
        <v>474</v>
      </c>
      <c r="D461" s="88" t="s">
        <v>451</v>
      </c>
      <c r="E461" s="98" t="n">
        <v>504.77</v>
      </c>
      <c r="F461" s="102" t="n">
        <f aca="false">$E461*Parametros!$C$22</f>
        <v>2422.896</v>
      </c>
      <c r="G461" s="90" t="n">
        <v>1.9</v>
      </c>
      <c r="H461" s="102" t="n">
        <f aca="false">$E461*Parametros!$C$23</f>
        <v>302.862</v>
      </c>
      <c r="I461" s="90" t="n">
        <v>0.0946</v>
      </c>
    </row>
    <row r="462" customFormat="false" ht="15" hidden="false" customHeight="false" outlineLevel="0" collapsed="false">
      <c r="A462" s="88" t="s">
        <v>197</v>
      </c>
      <c r="B462" s="97" t="n">
        <v>4</v>
      </c>
      <c r="C462" s="88" t="s">
        <v>474</v>
      </c>
      <c r="D462" s="88" t="s">
        <v>466</v>
      </c>
      <c r="E462" s="98" t="n">
        <v>504.77</v>
      </c>
      <c r="F462" s="102" t="n">
        <f aca="false">$E462*Parametros!$C$22</f>
        <v>2422.896</v>
      </c>
      <c r="G462" s="90"/>
      <c r="H462" s="102" t="n">
        <f aca="false">$E462*Parametros!$C$23</f>
        <v>302.862</v>
      </c>
      <c r="I462" s="90" t="n">
        <v>0.0935</v>
      </c>
    </row>
    <row r="463" customFormat="false" ht="15" hidden="false" customHeight="false" outlineLevel="0" collapsed="false">
      <c r="A463" s="88" t="s">
        <v>197</v>
      </c>
      <c r="B463" s="97" t="n">
        <v>4</v>
      </c>
      <c r="C463" s="88" t="s">
        <v>474</v>
      </c>
      <c r="D463" s="88" t="s">
        <v>467</v>
      </c>
      <c r="E463" s="98" t="n">
        <v>504.77</v>
      </c>
      <c r="F463" s="102" t="n">
        <f aca="false">$E463*Parametros!$C$22</f>
        <v>2422.896</v>
      </c>
      <c r="G463" s="90" t="n">
        <v>0.52</v>
      </c>
      <c r="H463" s="102" t="n">
        <f aca="false">$E463*Parametros!$C$23</f>
        <v>302.862</v>
      </c>
      <c r="I463" s="90" t="n">
        <v>0.0946</v>
      </c>
    </row>
    <row r="464" customFormat="false" ht="15" hidden="false" customHeight="false" outlineLevel="0" collapsed="false">
      <c r="A464" s="88" t="s">
        <v>197</v>
      </c>
      <c r="B464" s="97" t="n">
        <v>4</v>
      </c>
      <c r="C464" s="88" t="s">
        <v>474</v>
      </c>
      <c r="D464" s="88" t="s">
        <v>402</v>
      </c>
      <c r="E464" s="98" t="n">
        <v>504.77</v>
      </c>
      <c r="F464" s="102" t="n">
        <f aca="false">$E464*Parametros!$C$22</f>
        <v>2422.896</v>
      </c>
      <c r="G464" s="90"/>
      <c r="H464" s="102" t="n">
        <f aca="false">$E464*Parametros!$C$23</f>
        <v>302.862</v>
      </c>
      <c r="I464" s="90" t="n">
        <v>0.0935</v>
      </c>
    </row>
    <row r="465" customFormat="false" ht="15" hidden="false" customHeight="false" outlineLevel="0" collapsed="false">
      <c r="A465" s="88" t="s">
        <v>197</v>
      </c>
      <c r="B465" s="97" t="n">
        <v>4</v>
      </c>
      <c r="C465" s="88" t="s">
        <v>474</v>
      </c>
      <c r="D465" s="88" t="s">
        <v>468</v>
      </c>
      <c r="E465" s="98" t="n">
        <v>504.77</v>
      </c>
      <c r="F465" s="102" t="n">
        <f aca="false">$E465*Parametros!$C$22</f>
        <v>2422.896</v>
      </c>
      <c r="G465" s="90"/>
      <c r="H465" s="102" t="n">
        <f aca="false">$E465*Parametros!$C$23</f>
        <v>302.862</v>
      </c>
      <c r="I465" s="90" t="n">
        <v>0.0972</v>
      </c>
    </row>
    <row r="466" customFormat="false" ht="15" hidden="false" customHeight="false" outlineLevel="0" collapsed="false">
      <c r="A466" s="88" t="s">
        <v>197</v>
      </c>
      <c r="B466" s="97" t="n">
        <v>4</v>
      </c>
      <c r="C466" s="88" t="s">
        <v>474</v>
      </c>
      <c r="D466" s="88" t="s">
        <v>469</v>
      </c>
      <c r="E466" s="98" t="n">
        <v>504.77</v>
      </c>
      <c r="F466" s="102" t="n">
        <f aca="false">$E466*Parametros!$C$22</f>
        <v>2422.896</v>
      </c>
      <c r="G466" s="90"/>
      <c r="H466" s="102" t="n">
        <f aca="false">$E466*Parametros!$C$23</f>
        <v>302.862</v>
      </c>
      <c r="I466" s="90" t="n">
        <v>0.0959</v>
      </c>
    </row>
    <row r="467" customFormat="false" ht="15" hidden="false" customHeight="false" outlineLevel="0" collapsed="false">
      <c r="A467" s="88" t="s">
        <v>197</v>
      </c>
      <c r="B467" s="97" t="n">
        <v>4</v>
      </c>
      <c r="C467" s="88" t="s">
        <v>474</v>
      </c>
      <c r="D467" s="88" t="s">
        <v>439</v>
      </c>
      <c r="E467" s="98" t="n">
        <v>504.77</v>
      </c>
      <c r="F467" s="102" t="n">
        <f aca="false">$E467*Parametros!$C$22</f>
        <v>2422.896</v>
      </c>
      <c r="G467" s="90"/>
      <c r="H467" s="102" t="n">
        <f aca="false">$E467*Parametros!$C$23</f>
        <v>302.862</v>
      </c>
      <c r="I467" s="90" t="n">
        <v>0.06</v>
      </c>
    </row>
    <row r="468" customFormat="false" ht="15" hidden="false" customHeight="false" outlineLevel="0" collapsed="false">
      <c r="A468" s="88" t="s">
        <v>197</v>
      </c>
      <c r="B468" s="97" t="n">
        <v>4</v>
      </c>
      <c r="C468" s="88" t="s">
        <v>474</v>
      </c>
      <c r="D468" s="88" t="s">
        <v>470</v>
      </c>
      <c r="E468" s="98" t="n">
        <v>504.77</v>
      </c>
      <c r="F468" s="102" t="n">
        <f aca="false">$E468*Parametros!$C$22</f>
        <v>2422.896</v>
      </c>
      <c r="G468" s="90" t="n">
        <v>0.952</v>
      </c>
      <c r="H468" s="102" t="n">
        <f aca="false">$E468*Parametros!$C$23</f>
        <v>302.862</v>
      </c>
      <c r="I468" s="90" t="n">
        <v>0.0959</v>
      </c>
    </row>
    <row r="469" customFormat="false" ht="15" hidden="false" customHeight="false" outlineLevel="0" collapsed="false">
      <c r="A469" s="88" t="s">
        <v>197</v>
      </c>
      <c r="B469" s="97" t="n">
        <v>4</v>
      </c>
      <c r="C469" s="88" t="s">
        <v>474</v>
      </c>
      <c r="D469" s="88" t="s">
        <v>471</v>
      </c>
      <c r="E469" s="98" t="n">
        <v>504.77</v>
      </c>
      <c r="F469" s="102" t="n">
        <f aca="false">$E469*Parametros!$C$22</f>
        <v>2422.896</v>
      </c>
      <c r="G469" s="90"/>
      <c r="H469" s="102" t="n">
        <f aca="false">$E469*Parametros!$C$23</f>
        <v>302.862</v>
      </c>
      <c r="I469" s="90" t="n">
        <v>0.0959</v>
      </c>
    </row>
    <row r="470" customFormat="false" ht="15" hidden="false" customHeight="false" outlineLevel="0" collapsed="false">
      <c r="A470" s="88" t="s">
        <v>197</v>
      </c>
      <c r="B470" s="97" t="n">
        <v>4</v>
      </c>
      <c r="C470" s="88" t="s">
        <v>474</v>
      </c>
      <c r="D470" s="88" t="s">
        <v>472</v>
      </c>
      <c r="E470" s="98" t="n">
        <v>504.77</v>
      </c>
      <c r="F470" s="102" t="n">
        <f aca="false">$E470*Parametros!$C$22</f>
        <v>2422.896</v>
      </c>
      <c r="G470" s="90"/>
      <c r="H470" s="102" t="n">
        <f aca="false">$E470*Parametros!$C$23</f>
        <v>302.862</v>
      </c>
      <c r="I470" s="90" t="n">
        <v>0.0662</v>
      </c>
    </row>
    <row r="471" customFormat="false" ht="15" hidden="false" customHeight="false" outlineLevel="0" collapsed="false">
      <c r="A471" s="88" t="s">
        <v>204</v>
      </c>
      <c r="B471" s="97" t="n">
        <v>1</v>
      </c>
      <c r="C471" s="88" t="s">
        <v>206</v>
      </c>
      <c r="D471" s="88" t="s">
        <v>475</v>
      </c>
      <c r="E471" s="98" t="n">
        <v>60.19</v>
      </c>
      <c r="F471" s="102" t="n">
        <f aca="false">$E471*Parametros!$C$22</f>
        <v>288.912</v>
      </c>
      <c r="G471" s="90" t="n">
        <v>0.5</v>
      </c>
      <c r="H471" s="102" t="n">
        <f aca="false">$E471*Parametros!$C$23</f>
        <v>36.114</v>
      </c>
      <c r="I471" s="90" t="n">
        <v>0.199</v>
      </c>
    </row>
    <row r="472" customFormat="false" ht="15" hidden="false" customHeight="false" outlineLevel="0" collapsed="false">
      <c r="A472" s="88" t="s">
        <v>204</v>
      </c>
      <c r="B472" s="97" t="n">
        <v>1</v>
      </c>
      <c r="C472" s="88" t="s">
        <v>206</v>
      </c>
      <c r="D472" s="88" t="s">
        <v>476</v>
      </c>
      <c r="E472" s="98" t="n">
        <v>60.19</v>
      </c>
      <c r="F472" s="102" t="n">
        <f aca="false">$E472*Parametros!$C$22</f>
        <v>288.912</v>
      </c>
      <c r="G472" s="90" t="n">
        <v>0.644</v>
      </c>
      <c r="H472" s="102" t="n">
        <f aca="false">$E472*Parametros!$C$23</f>
        <v>36.114</v>
      </c>
      <c r="I472" s="90" t="n">
        <v>0.0959</v>
      </c>
    </row>
    <row r="473" customFormat="false" ht="15" hidden="false" customHeight="false" outlineLevel="0" collapsed="false">
      <c r="A473" s="88" t="s">
        <v>204</v>
      </c>
      <c r="B473" s="97" t="n">
        <v>1</v>
      </c>
      <c r="C473" s="88" t="s">
        <v>206</v>
      </c>
      <c r="D473" s="88" t="s">
        <v>476</v>
      </c>
      <c r="E473" s="98" t="n">
        <v>60.19</v>
      </c>
      <c r="F473" s="102" t="n">
        <f aca="false">$E473*Parametros!$C$22</f>
        <v>288.912</v>
      </c>
      <c r="G473" s="90" t="n">
        <v>0.644</v>
      </c>
      <c r="H473" s="102" t="n">
        <f aca="false">$E473*Parametros!$C$23</f>
        <v>36.114</v>
      </c>
      <c r="I473" s="90" t="n">
        <v>0.0959</v>
      </c>
    </row>
    <row r="474" customFormat="false" ht="15" hidden="false" customHeight="false" outlineLevel="0" collapsed="false">
      <c r="A474" s="88" t="s">
        <v>204</v>
      </c>
      <c r="B474" s="97" t="n">
        <v>1</v>
      </c>
      <c r="C474" s="88" t="s">
        <v>206</v>
      </c>
      <c r="D474" s="88" t="s">
        <v>477</v>
      </c>
      <c r="E474" s="98" t="n">
        <v>60.19</v>
      </c>
      <c r="F474" s="102" t="n">
        <f aca="false">$E474*Parametros!$C$22</f>
        <v>288.912</v>
      </c>
      <c r="G474" s="90"/>
      <c r="H474" s="102" t="n">
        <f aca="false">$E474*Parametros!$C$23</f>
        <v>36.114</v>
      </c>
      <c r="I474" s="90" t="n">
        <v>0.138</v>
      </c>
    </row>
    <row r="475" customFormat="false" ht="15" hidden="false" customHeight="false" outlineLevel="0" collapsed="false">
      <c r="A475" s="88" t="s">
        <v>204</v>
      </c>
      <c r="B475" s="97" t="n">
        <v>1</v>
      </c>
      <c r="C475" s="88" t="s">
        <v>206</v>
      </c>
      <c r="D475" s="88" t="s">
        <v>478</v>
      </c>
      <c r="E475" s="98" t="n">
        <v>60.19</v>
      </c>
      <c r="F475" s="102" t="n">
        <f aca="false">$E475*Parametros!$C$22</f>
        <v>288.912</v>
      </c>
      <c r="G475" s="90"/>
      <c r="H475" s="102" t="n">
        <f aca="false">$E475*Parametros!$C$23</f>
        <v>36.114</v>
      </c>
      <c r="I475" s="90" t="n">
        <v>0.0662</v>
      </c>
    </row>
    <row r="476" customFormat="false" ht="15" hidden="false" customHeight="false" outlineLevel="0" collapsed="false">
      <c r="A476" s="88" t="s">
        <v>204</v>
      </c>
      <c r="B476" s="97" t="n">
        <v>1</v>
      </c>
      <c r="C476" s="88" t="s">
        <v>206</v>
      </c>
      <c r="D476" s="88" t="s">
        <v>479</v>
      </c>
      <c r="E476" s="98" t="n">
        <v>60.19</v>
      </c>
      <c r="F476" s="102" t="n">
        <f aca="false">$E476*Parametros!$C$22</f>
        <v>288.912</v>
      </c>
      <c r="G476" s="90"/>
      <c r="H476" s="102" t="n">
        <f aca="false">$E476*Parametros!$C$23</f>
        <v>36.114</v>
      </c>
      <c r="I476" s="90" t="n">
        <v>0.0935</v>
      </c>
    </row>
    <row r="477" customFormat="false" ht="15" hidden="false" customHeight="false" outlineLevel="0" collapsed="false">
      <c r="A477" s="88" t="s">
        <v>204</v>
      </c>
      <c r="B477" s="97" t="n">
        <v>1</v>
      </c>
      <c r="C477" s="88" t="s">
        <v>206</v>
      </c>
      <c r="D477" s="88" t="s">
        <v>480</v>
      </c>
      <c r="E477" s="98" t="n">
        <v>60.19</v>
      </c>
      <c r="F477" s="102" t="n">
        <f aca="false">$E477*Parametros!$C$22</f>
        <v>288.912</v>
      </c>
      <c r="G477" s="90" t="n">
        <v>0.84</v>
      </c>
      <c r="H477" s="102" t="n">
        <f aca="false">$E477*Parametros!$C$23</f>
        <v>36.114</v>
      </c>
      <c r="I477" s="90" t="n">
        <v>0.0946</v>
      </c>
    </row>
    <row r="478" customFormat="false" ht="15" hidden="false" customHeight="false" outlineLevel="0" collapsed="false">
      <c r="A478" s="88" t="s">
        <v>204</v>
      </c>
      <c r="B478" s="97" t="n">
        <v>1</v>
      </c>
      <c r="C478" s="88" t="s">
        <v>206</v>
      </c>
      <c r="D478" s="88" t="s">
        <v>481</v>
      </c>
      <c r="E478" s="98" t="n">
        <v>60.19</v>
      </c>
      <c r="F478" s="102" t="n">
        <f aca="false">$E478*Parametros!$C$22</f>
        <v>288.912</v>
      </c>
      <c r="G478" s="90"/>
      <c r="H478" s="102" t="n">
        <f aca="false">$E478*Parametros!$C$23</f>
        <v>36.114</v>
      </c>
      <c r="I478" s="90" t="n">
        <v>0.0946</v>
      </c>
    </row>
    <row r="479" customFormat="false" ht="15" hidden="false" customHeight="false" outlineLevel="0" collapsed="false">
      <c r="A479" s="88" t="s">
        <v>204</v>
      </c>
      <c r="B479" s="97" t="n">
        <v>1</v>
      </c>
      <c r="C479" s="88" t="s">
        <v>206</v>
      </c>
      <c r="D479" s="88" t="s">
        <v>482</v>
      </c>
      <c r="E479" s="98" t="n">
        <v>60.19</v>
      </c>
      <c r="F479" s="102" t="n">
        <f aca="false">$E479*Parametros!$C$22</f>
        <v>288.912</v>
      </c>
      <c r="G479" s="90"/>
      <c r="H479" s="102" t="n">
        <f aca="false">$E479*Parametros!$C$23</f>
        <v>36.114</v>
      </c>
      <c r="I479" s="90" t="n">
        <v>0.0946</v>
      </c>
    </row>
    <row r="480" customFormat="false" ht="15" hidden="false" customHeight="false" outlineLevel="0" collapsed="false">
      <c r="A480" s="88" t="s">
        <v>204</v>
      </c>
      <c r="B480" s="97" t="n">
        <v>1</v>
      </c>
      <c r="C480" s="88" t="s">
        <v>206</v>
      </c>
      <c r="D480" s="88" t="s">
        <v>483</v>
      </c>
      <c r="E480" s="98" t="n">
        <v>60.19</v>
      </c>
      <c r="F480" s="102" t="n">
        <f aca="false">$E480*Parametros!$C$22</f>
        <v>288.912</v>
      </c>
      <c r="G480" s="90"/>
      <c r="H480" s="102" t="n">
        <f aca="false">$E480*Parametros!$C$23</f>
        <v>36.114</v>
      </c>
      <c r="I480" s="90" t="n">
        <v>0.0662</v>
      </c>
    </row>
    <row r="481" customFormat="false" ht="15" hidden="false" customHeight="false" outlineLevel="0" collapsed="false">
      <c r="A481" s="88" t="s">
        <v>204</v>
      </c>
      <c r="B481" s="97" t="n">
        <v>1</v>
      </c>
      <c r="C481" s="88" t="s">
        <v>206</v>
      </c>
      <c r="D481" s="88" t="s">
        <v>484</v>
      </c>
      <c r="E481" s="98" t="n">
        <v>60.19</v>
      </c>
      <c r="F481" s="102" t="n">
        <f aca="false">$E481*Parametros!$C$22</f>
        <v>288.912</v>
      </c>
      <c r="G481" s="90" t="n">
        <v>2.51</v>
      </c>
      <c r="H481" s="102" t="n">
        <f aca="false">$E481*Parametros!$C$23</f>
        <v>36.114</v>
      </c>
      <c r="I481" s="90" t="n">
        <v>0.0946</v>
      </c>
    </row>
    <row r="482" customFormat="false" ht="15" hidden="false" customHeight="false" outlineLevel="0" collapsed="false">
      <c r="A482" s="88" t="s">
        <v>204</v>
      </c>
      <c r="B482" s="97" t="n">
        <v>1</v>
      </c>
      <c r="C482" s="88" t="s">
        <v>206</v>
      </c>
      <c r="D482" s="88" t="s">
        <v>485</v>
      </c>
      <c r="E482" s="98" t="n">
        <v>60.19</v>
      </c>
      <c r="F482" s="102" t="n">
        <f aca="false">$E482*Parametros!$C$22</f>
        <v>288.912</v>
      </c>
      <c r="G482" s="90"/>
      <c r="H482" s="102" t="n">
        <f aca="false">$E482*Parametros!$C$23</f>
        <v>36.114</v>
      </c>
      <c r="I482" s="90" t="n">
        <v>0.05</v>
      </c>
    </row>
    <row r="483" customFormat="false" ht="15" hidden="false" customHeight="false" outlineLevel="0" collapsed="false">
      <c r="A483" s="88" t="s">
        <v>204</v>
      </c>
      <c r="B483" s="97" t="n">
        <v>1</v>
      </c>
      <c r="C483" s="88" t="s">
        <v>206</v>
      </c>
      <c r="D483" s="88" t="s">
        <v>486</v>
      </c>
      <c r="E483" s="98" t="n">
        <v>60.19</v>
      </c>
      <c r="F483" s="102" t="n">
        <f aca="false">$E483*Parametros!$C$22</f>
        <v>288.912</v>
      </c>
      <c r="G483" s="90" t="n">
        <v>2.56</v>
      </c>
      <c r="H483" s="102" t="n">
        <f aca="false">$E483*Parametros!$C$23</f>
        <v>36.114</v>
      </c>
      <c r="I483" s="90" t="n">
        <v>0.0509</v>
      </c>
    </row>
    <row r="484" customFormat="false" ht="15" hidden="false" customHeight="false" outlineLevel="0" collapsed="false">
      <c r="A484" s="88" t="s">
        <v>204</v>
      </c>
      <c r="B484" s="97" t="n">
        <v>1</v>
      </c>
      <c r="C484" s="88" t="s">
        <v>206</v>
      </c>
      <c r="D484" s="88" t="s">
        <v>487</v>
      </c>
      <c r="E484" s="98" t="n">
        <v>60.19</v>
      </c>
      <c r="F484" s="102" t="n">
        <f aca="false">$E484*Parametros!$C$22</f>
        <v>288.912</v>
      </c>
      <c r="G484" s="90" t="n">
        <v>1.32</v>
      </c>
      <c r="H484" s="102" t="n">
        <f aca="false">$E484*Parametros!$C$23</f>
        <v>36.114</v>
      </c>
      <c r="I484" s="90" t="n">
        <v>0.146</v>
      </c>
    </row>
    <row r="485" customFormat="false" ht="15" hidden="false" customHeight="false" outlineLevel="0" collapsed="false">
      <c r="A485" s="88" t="s">
        <v>204</v>
      </c>
      <c r="B485" s="97" t="n">
        <v>1</v>
      </c>
      <c r="C485" s="88" t="s">
        <v>206</v>
      </c>
      <c r="D485" s="88" t="s">
        <v>488</v>
      </c>
      <c r="E485" s="98" t="n">
        <v>60.19</v>
      </c>
      <c r="F485" s="102" t="n">
        <f aca="false">$E485*Parametros!$C$22</f>
        <v>288.912</v>
      </c>
      <c r="G485" s="90"/>
      <c r="H485" s="102" t="n">
        <f aca="false">$E485*Parametros!$C$23</f>
        <v>36.114</v>
      </c>
      <c r="I485" s="90" t="n">
        <v>0.0959</v>
      </c>
    </row>
    <row r="486" customFormat="false" ht="15" hidden="false" customHeight="false" outlineLevel="0" collapsed="false">
      <c r="A486" s="88" t="s">
        <v>204</v>
      </c>
      <c r="B486" s="97" t="n">
        <v>1</v>
      </c>
      <c r="C486" s="88" t="s">
        <v>206</v>
      </c>
      <c r="D486" s="88" t="s">
        <v>472</v>
      </c>
      <c r="E486" s="98" t="n">
        <v>60.19</v>
      </c>
      <c r="F486" s="102" t="n">
        <f aca="false">$E486*Parametros!$C$22</f>
        <v>288.912</v>
      </c>
      <c r="G486" s="90"/>
      <c r="H486" s="102" t="n">
        <f aca="false">$E486*Parametros!$C$23</f>
        <v>36.114</v>
      </c>
      <c r="I486" s="90" t="n">
        <v>0.354</v>
      </c>
    </row>
    <row r="487" customFormat="false" ht="15" hidden="false" customHeight="false" outlineLevel="0" collapsed="false">
      <c r="A487" s="88" t="s">
        <v>204</v>
      </c>
      <c r="B487" s="97" t="n">
        <v>1</v>
      </c>
      <c r="C487" s="88" t="s">
        <v>206</v>
      </c>
      <c r="D487" s="88" t="s">
        <v>375</v>
      </c>
      <c r="E487" s="98" t="n">
        <v>60.19</v>
      </c>
      <c r="F487" s="102" t="n">
        <f aca="false">$E487*Parametros!$C$22</f>
        <v>288.912</v>
      </c>
      <c r="G487" s="90" t="n">
        <v>0.325</v>
      </c>
      <c r="H487" s="102" t="n">
        <f aca="false">$E487*Parametros!$C$23</f>
        <v>36.114</v>
      </c>
      <c r="I487" s="90" t="n">
        <v>0.0959</v>
      </c>
    </row>
    <row r="488" customFormat="false" ht="15" hidden="false" customHeight="false" outlineLevel="0" collapsed="false">
      <c r="A488" s="88" t="s">
        <v>204</v>
      </c>
      <c r="B488" s="97" t="n">
        <v>1</v>
      </c>
      <c r="C488" s="88" t="s">
        <v>206</v>
      </c>
      <c r="D488" s="88" t="s">
        <v>375</v>
      </c>
      <c r="E488" s="98" t="n">
        <v>60.19</v>
      </c>
      <c r="F488" s="102" t="n">
        <f aca="false">$E488*Parametros!$C$22</f>
        <v>288.912</v>
      </c>
      <c r="G488" s="90" t="n">
        <v>0.325</v>
      </c>
      <c r="H488" s="102" t="n">
        <f aca="false">$E488*Parametros!$C$23</f>
        <v>36.114</v>
      </c>
      <c r="I488" s="90" t="n">
        <v>0.0959</v>
      </c>
    </row>
    <row r="489" customFormat="false" ht="15" hidden="false" customHeight="false" outlineLevel="0" collapsed="false">
      <c r="A489" s="88" t="s">
        <v>204</v>
      </c>
      <c r="B489" s="97" t="n">
        <v>1</v>
      </c>
      <c r="C489" s="88" t="s">
        <v>206</v>
      </c>
      <c r="D489" s="88" t="s">
        <v>489</v>
      </c>
      <c r="E489" s="98" t="n">
        <v>60.19</v>
      </c>
      <c r="F489" s="102" t="n">
        <f aca="false">$E489*Parametros!$C$22</f>
        <v>288.912</v>
      </c>
      <c r="G489" s="90"/>
      <c r="H489" s="102" t="n">
        <f aca="false">$E489*Parametros!$C$23</f>
        <v>36.114</v>
      </c>
      <c r="I489" s="90" t="n">
        <v>0.0935</v>
      </c>
    </row>
    <row r="490" customFormat="false" ht="15" hidden="false" customHeight="false" outlineLevel="0" collapsed="false">
      <c r="A490" s="88" t="s">
        <v>204</v>
      </c>
      <c r="B490" s="97" t="n">
        <v>2</v>
      </c>
      <c r="C490" s="88" t="s">
        <v>490</v>
      </c>
      <c r="D490" s="88" t="s">
        <v>475</v>
      </c>
      <c r="E490" s="98" t="n">
        <v>60.29</v>
      </c>
      <c r="F490" s="102" t="n">
        <f aca="false">$E490*Parametros!$C$22</f>
        <v>289.392</v>
      </c>
      <c r="G490" s="90" t="n">
        <v>0.811</v>
      </c>
      <c r="H490" s="102" t="n">
        <f aca="false">$E490*Parametros!$C$23</f>
        <v>36.174</v>
      </c>
      <c r="I490" s="90" t="n">
        <v>0.178</v>
      </c>
    </row>
    <row r="491" customFormat="false" ht="15" hidden="false" customHeight="false" outlineLevel="0" collapsed="false">
      <c r="A491" s="88" t="s">
        <v>204</v>
      </c>
      <c r="B491" s="97" t="n">
        <v>2</v>
      </c>
      <c r="C491" s="88" t="s">
        <v>490</v>
      </c>
      <c r="D491" s="88" t="s">
        <v>476</v>
      </c>
      <c r="E491" s="98" t="n">
        <v>60.29</v>
      </c>
      <c r="F491" s="102" t="n">
        <f aca="false">$E491*Parametros!$C$22</f>
        <v>289.392</v>
      </c>
      <c r="G491" s="90" t="n">
        <v>0.514</v>
      </c>
      <c r="H491" s="102" t="n">
        <f aca="false">$E491*Parametros!$C$23</f>
        <v>36.174</v>
      </c>
      <c r="I491" s="90" t="n">
        <v>0.0959</v>
      </c>
    </row>
    <row r="492" customFormat="false" ht="15" hidden="false" customHeight="false" outlineLevel="0" collapsed="false">
      <c r="A492" s="88" t="s">
        <v>204</v>
      </c>
      <c r="B492" s="97" t="n">
        <v>2</v>
      </c>
      <c r="C492" s="88" t="s">
        <v>490</v>
      </c>
      <c r="D492" s="88" t="s">
        <v>476</v>
      </c>
      <c r="E492" s="98" t="n">
        <v>60.29</v>
      </c>
      <c r="F492" s="102" t="n">
        <f aca="false">$E492*Parametros!$C$22</f>
        <v>289.392</v>
      </c>
      <c r="G492" s="90" t="n">
        <v>0.514</v>
      </c>
      <c r="H492" s="102" t="n">
        <f aca="false">$E492*Parametros!$C$23</f>
        <v>36.174</v>
      </c>
      <c r="I492" s="90" t="n">
        <v>0.0959</v>
      </c>
    </row>
    <row r="493" customFormat="false" ht="15" hidden="false" customHeight="false" outlineLevel="0" collapsed="false">
      <c r="A493" s="88" t="s">
        <v>204</v>
      </c>
      <c r="B493" s="97" t="n">
        <v>2</v>
      </c>
      <c r="C493" s="88" t="s">
        <v>490</v>
      </c>
      <c r="D493" s="88" t="s">
        <v>477</v>
      </c>
      <c r="E493" s="98" t="n">
        <v>60.29</v>
      </c>
      <c r="F493" s="102" t="n">
        <f aca="false">$E493*Parametros!$C$22</f>
        <v>289.392</v>
      </c>
      <c r="G493" s="90"/>
      <c r="H493" s="102" t="n">
        <f aca="false">$E493*Parametros!$C$23</f>
        <v>36.174</v>
      </c>
      <c r="I493" s="90" t="n">
        <v>0.0688</v>
      </c>
    </row>
    <row r="494" customFormat="false" ht="15" hidden="false" customHeight="false" outlineLevel="0" collapsed="false">
      <c r="A494" s="88" t="s">
        <v>204</v>
      </c>
      <c r="B494" s="97" t="n">
        <v>2</v>
      </c>
      <c r="C494" s="88" t="s">
        <v>490</v>
      </c>
      <c r="D494" s="88" t="s">
        <v>478</v>
      </c>
      <c r="E494" s="98" t="n">
        <v>60.29</v>
      </c>
      <c r="F494" s="102" t="n">
        <f aca="false">$E494*Parametros!$C$22</f>
        <v>289.392</v>
      </c>
      <c r="G494" s="90"/>
      <c r="H494" s="102" t="n">
        <f aca="false">$E494*Parametros!$C$23</f>
        <v>36.174</v>
      </c>
      <c r="I494" s="90" t="n">
        <v>0.0662</v>
      </c>
    </row>
    <row r="495" customFormat="false" ht="15" hidden="false" customHeight="false" outlineLevel="0" collapsed="false">
      <c r="A495" s="88" t="s">
        <v>204</v>
      </c>
      <c r="B495" s="97" t="n">
        <v>2</v>
      </c>
      <c r="C495" s="88" t="s">
        <v>490</v>
      </c>
      <c r="D495" s="88" t="s">
        <v>479</v>
      </c>
      <c r="E495" s="98" t="n">
        <v>60.29</v>
      </c>
      <c r="F495" s="102" t="n">
        <f aca="false">$E495*Parametros!$C$22</f>
        <v>289.392</v>
      </c>
      <c r="G495" s="90"/>
      <c r="H495" s="102" t="n">
        <f aca="false">$E495*Parametros!$C$23</f>
        <v>36.174</v>
      </c>
      <c r="I495" s="90" t="n">
        <v>1.58</v>
      </c>
    </row>
    <row r="496" customFormat="false" ht="15" hidden="false" customHeight="false" outlineLevel="0" collapsed="false">
      <c r="A496" s="88" t="s">
        <v>204</v>
      </c>
      <c r="B496" s="97" t="n">
        <v>2</v>
      </c>
      <c r="C496" s="88" t="s">
        <v>490</v>
      </c>
      <c r="D496" s="88" t="s">
        <v>480</v>
      </c>
      <c r="E496" s="98" t="n">
        <v>60.29</v>
      </c>
      <c r="F496" s="102" t="n">
        <f aca="false">$E496*Parametros!$C$22</f>
        <v>289.392</v>
      </c>
      <c r="G496" s="90" t="n">
        <v>0.463</v>
      </c>
      <c r="H496" s="102" t="n">
        <f aca="false">$E496*Parametros!$C$23</f>
        <v>36.174</v>
      </c>
      <c r="I496" s="90" t="n">
        <v>0.0946</v>
      </c>
    </row>
    <row r="497" customFormat="false" ht="15" hidden="false" customHeight="false" outlineLevel="0" collapsed="false">
      <c r="A497" s="88" t="s">
        <v>204</v>
      </c>
      <c r="B497" s="97" t="n">
        <v>2</v>
      </c>
      <c r="C497" s="88" t="s">
        <v>490</v>
      </c>
      <c r="D497" s="88" t="s">
        <v>481</v>
      </c>
      <c r="E497" s="98" t="n">
        <v>60.29</v>
      </c>
      <c r="F497" s="102" t="n">
        <f aca="false">$E497*Parametros!$C$22</f>
        <v>289.392</v>
      </c>
      <c r="G497" s="90"/>
      <c r="H497" s="102" t="n">
        <f aca="false">$E497*Parametros!$C$23</f>
        <v>36.174</v>
      </c>
      <c r="I497" s="90" t="n">
        <v>0.26</v>
      </c>
    </row>
    <row r="498" customFormat="false" ht="15" hidden="false" customHeight="false" outlineLevel="0" collapsed="false">
      <c r="A498" s="88" t="s">
        <v>204</v>
      </c>
      <c r="B498" s="97" t="n">
        <v>2</v>
      </c>
      <c r="C498" s="88" t="s">
        <v>490</v>
      </c>
      <c r="D498" s="88" t="s">
        <v>482</v>
      </c>
      <c r="E498" s="98" t="n">
        <v>60.29</v>
      </c>
      <c r="F498" s="102" t="n">
        <f aca="false">$E498*Parametros!$C$22</f>
        <v>289.392</v>
      </c>
      <c r="G498" s="90"/>
      <c r="H498" s="102" t="n">
        <f aca="false">$E498*Parametros!$C$23</f>
        <v>36.174</v>
      </c>
      <c r="I498" s="90" t="n">
        <v>0.0946</v>
      </c>
    </row>
    <row r="499" customFormat="false" ht="15" hidden="false" customHeight="false" outlineLevel="0" collapsed="false">
      <c r="A499" s="88" t="s">
        <v>204</v>
      </c>
      <c r="B499" s="97" t="n">
        <v>2</v>
      </c>
      <c r="C499" s="88" t="s">
        <v>490</v>
      </c>
      <c r="D499" s="88" t="s">
        <v>483</v>
      </c>
      <c r="E499" s="98" t="n">
        <v>60.29</v>
      </c>
      <c r="F499" s="102" t="n">
        <f aca="false">$E499*Parametros!$C$22</f>
        <v>289.392</v>
      </c>
      <c r="G499" s="90"/>
      <c r="H499" s="102" t="n">
        <f aca="false">$E499*Parametros!$C$23</f>
        <v>36.174</v>
      </c>
      <c r="I499" s="90" t="n">
        <v>0.0662</v>
      </c>
    </row>
    <row r="500" customFormat="false" ht="15" hidden="false" customHeight="false" outlineLevel="0" collapsed="false">
      <c r="A500" s="88" t="s">
        <v>204</v>
      </c>
      <c r="B500" s="97" t="n">
        <v>2</v>
      </c>
      <c r="C500" s="88" t="s">
        <v>490</v>
      </c>
      <c r="D500" s="88" t="s">
        <v>484</v>
      </c>
      <c r="E500" s="98" t="n">
        <v>60.29</v>
      </c>
      <c r="F500" s="102" t="n">
        <f aca="false">$E500*Parametros!$C$22</f>
        <v>289.392</v>
      </c>
      <c r="G500" s="90" t="n">
        <v>3.35</v>
      </c>
      <c r="H500" s="102" t="n">
        <f aca="false">$E500*Parametros!$C$23</f>
        <v>36.174</v>
      </c>
      <c r="I500" s="90" t="n">
        <v>0.166</v>
      </c>
    </row>
    <row r="501" customFormat="false" ht="15" hidden="false" customHeight="false" outlineLevel="0" collapsed="false">
      <c r="A501" s="88" t="s">
        <v>204</v>
      </c>
      <c r="B501" s="97" t="n">
        <v>2</v>
      </c>
      <c r="C501" s="88" t="s">
        <v>490</v>
      </c>
      <c r="D501" s="88" t="s">
        <v>485</v>
      </c>
      <c r="E501" s="98" t="n">
        <v>60.29</v>
      </c>
      <c r="F501" s="102" t="n">
        <f aca="false">$E501*Parametros!$C$22</f>
        <v>289.392</v>
      </c>
      <c r="G501" s="90"/>
      <c r="H501" s="102" t="n">
        <f aca="false">$E501*Parametros!$C$23</f>
        <v>36.174</v>
      </c>
      <c r="I501" s="90" t="n">
        <v>0.0509</v>
      </c>
    </row>
    <row r="502" customFormat="false" ht="15" hidden="false" customHeight="false" outlineLevel="0" collapsed="false">
      <c r="A502" s="88" t="s">
        <v>204</v>
      </c>
      <c r="B502" s="97" t="n">
        <v>2</v>
      </c>
      <c r="C502" s="88" t="s">
        <v>490</v>
      </c>
      <c r="D502" s="88" t="s">
        <v>486</v>
      </c>
      <c r="E502" s="98" t="n">
        <v>60.29</v>
      </c>
      <c r="F502" s="102" t="n">
        <f aca="false">$E502*Parametros!$C$22</f>
        <v>289.392</v>
      </c>
      <c r="G502" s="90" t="n">
        <v>2.51</v>
      </c>
      <c r="H502" s="102" t="n">
        <f aca="false">$E502*Parametros!$C$23</f>
        <v>36.174</v>
      </c>
      <c r="I502" s="90" t="n">
        <v>0.0509</v>
      </c>
    </row>
    <row r="503" customFormat="false" ht="15" hidden="false" customHeight="false" outlineLevel="0" collapsed="false">
      <c r="A503" s="88" t="s">
        <v>204</v>
      </c>
      <c r="B503" s="97" t="n">
        <v>2</v>
      </c>
      <c r="C503" s="88" t="s">
        <v>490</v>
      </c>
      <c r="D503" s="88" t="s">
        <v>487</v>
      </c>
      <c r="E503" s="98" t="n">
        <v>60.29</v>
      </c>
      <c r="F503" s="102" t="n">
        <f aca="false">$E503*Parametros!$C$22</f>
        <v>289.392</v>
      </c>
      <c r="G503" s="90" t="n">
        <v>0.463</v>
      </c>
      <c r="H503" s="102" t="n">
        <f aca="false">$E503*Parametros!$C$23</f>
        <v>36.174</v>
      </c>
      <c r="I503" s="90" t="n">
        <v>0.132</v>
      </c>
    </row>
    <row r="504" customFormat="false" ht="15" hidden="false" customHeight="false" outlineLevel="0" collapsed="false">
      <c r="A504" s="88" t="s">
        <v>204</v>
      </c>
      <c r="B504" s="97" t="n">
        <v>2</v>
      </c>
      <c r="C504" s="88" t="s">
        <v>490</v>
      </c>
      <c r="D504" s="88" t="s">
        <v>488</v>
      </c>
      <c r="E504" s="98" t="n">
        <v>60.29</v>
      </c>
      <c r="F504" s="102" t="n">
        <f aca="false">$E504*Parametros!$C$22</f>
        <v>289.392</v>
      </c>
      <c r="G504" s="90"/>
      <c r="H504" s="102" t="n">
        <f aca="false">$E504*Parametros!$C$23</f>
        <v>36.174</v>
      </c>
      <c r="I504" s="90" t="n">
        <v>0.0959</v>
      </c>
    </row>
    <row r="505" customFormat="false" ht="15" hidden="false" customHeight="false" outlineLevel="0" collapsed="false">
      <c r="A505" s="88" t="s">
        <v>204</v>
      </c>
      <c r="B505" s="97" t="n">
        <v>2</v>
      </c>
      <c r="C505" s="88" t="s">
        <v>490</v>
      </c>
      <c r="D505" s="88" t="s">
        <v>472</v>
      </c>
      <c r="E505" s="98" t="n">
        <v>60.29</v>
      </c>
      <c r="F505" s="102" t="n">
        <f aca="false">$E505*Parametros!$C$22</f>
        <v>289.392</v>
      </c>
      <c r="G505" s="90"/>
      <c r="H505" s="102" t="n">
        <f aca="false">$E505*Parametros!$C$23</f>
        <v>36.174</v>
      </c>
      <c r="I505" s="90" t="n">
        <v>0.491</v>
      </c>
    </row>
    <row r="506" customFormat="false" ht="15" hidden="false" customHeight="false" outlineLevel="0" collapsed="false">
      <c r="A506" s="88" t="s">
        <v>204</v>
      </c>
      <c r="B506" s="97" t="n">
        <v>2</v>
      </c>
      <c r="C506" s="88" t="s">
        <v>490</v>
      </c>
      <c r="D506" s="88" t="s">
        <v>375</v>
      </c>
      <c r="E506" s="98" t="n">
        <v>60.29</v>
      </c>
      <c r="F506" s="102" t="n">
        <f aca="false">$E506*Parametros!$C$22</f>
        <v>289.392</v>
      </c>
      <c r="G506" s="90" t="n">
        <v>0.921</v>
      </c>
      <c r="H506" s="102" t="n">
        <f aca="false">$E506*Parametros!$C$23</f>
        <v>36.174</v>
      </c>
      <c r="I506" s="90" t="n">
        <v>0.0959</v>
      </c>
    </row>
    <row r="507" customFormat="false" ht="15" hidden="false" customHeight="false" outlineLevel="0" collapsed="false">
      <c r="A507" s="88" t="s">
        <v>204</v>
      </c>
      <c r="B507" s="97" t="n">
        <v>2</v>
      </c>
      <c r="C507" s="88" t="s">
        <v>490</v>
      </c>
      <c r="D507" s="88" t="s">
        <v>375</v>
      </c>
      <c r="E507" s="98" t="n">
        <v>60.29</v>
      </c>
      <c r="F507" s="102" t="n">
        <f aca="false">$E507*Parametros!$C$22</f>
        <v>289.392</v>
      </c>
      <c r="G507" s="90" t="n">
        <v>0.921</v>
      </c>
      <c r="H507" s="102" t="n">
        <f aca="false">$E507*Parametros!$C$23</f>
        <v>36.174</v>
      </c>
      <c r="I507" s="90" t="n">
        <v>0.0959</v>
      </c>
    </row>
    <row r="508" customFormat="false" ht="15" hidden="false" customHeight="false" outlineLevel="0" collapsed="false">
      <c r="A508" s="88" t="s">
        <v>204</v>
      </c>
      <c r="B508" s="97" t="n">
        <v>2</v>
      </c>
      <c r="C508" s="88" t="s">
        <v>490</v>
      </c>
      <c r="D508" s="88" t="s">
        <v>489</v>
      </c>
      <c r="E508" s="98" t="n">
        <v>60.29</v>
      </c>
      <c r="F508" s="102" t="n">
        <f aca="false">$E508*Parametros!$C$22</f>
        <v>289.392</v>
      </c>
      <c r="G508" s="90"/>
      <c r="H508" s="102" t="n">
        <f aca="false">$E508*Parametros!$C$23</f>
        <v>36.174</v>
      </c>
      <c r="I508" s="90" t="n">
        <v>0.226</v>
      </c>
    </row>
    <row r="509" customFormat="false" ht="15" hidden="false" customHeight="false" outlineLevel="0" collapsed="false">
      <c r="A509" s="88" t="s">
        <v>204</v>
      </c>
      <c r="B509" s="97" t="n">
        <v>3</v>
      </c>
      <c r="C509" s="88" t="s">
        <v>491</v>
      </c>
      <c r="D509" s="88" t="s">
        <v>475</v>
      </c>
      <c r="E509" s="98" t="n">
        <v>60.3</v>
      </c>
      <c r="F509" s="102" t="n">
        <f aca="false">$E509*Parametros!$C$22</f>
        <v>289.44</v>
      </c>
      <c r="G509" s="90" t="n">
        <v>10.8</v>
      </c>
      <c r="H509" s="102" t="n">
        <f aca="false">$E509*Parametros!$C$23</f>
        <v>36.18</v>
      </c>
      <c r="I509" s="90" t="n">
        <v>0.711</v>
      </c>
    </row>
    <row r="510" customFormat="false" ht="15" hidden="false" customHeight="false" outlineLevel="0" collapsed="false">
      <c r="A510" s="88" t="s">
        <v>204</v>
      </c>
      <c r="B510" s="97" t="n">
        <v>3</v>
      </c>
      <c r="C510" s="88" t="s">
        <v>491</v>
      </c>
      <c r="D510" s="88" t="s">
        <v>476</v>
      </c>
      <c r="E510" s="98" t="n">
        <v>60.3</v>
      </c>
      <c r="F510" s="102" t="n">
        <f aca="false">$E510*Parametros!$C$22</f>
        <v>289.44</v>
      </c>
      <c r="G510" s="90" t="n">
        <v>1.04</v>
      </c>
      <c r="H510" s="102" t="n">
        <f aca="false">$E510*Parametros!$C$23</f>
        <v>36.18</v>
      </c>
      <c r="I510" s="90" t="n">
        <v>0.0959</v>
      </c>
    </row>
    <row r="511" customFormat="false" ht="15" hidden="false" customHeight="false" outlineLevel="0" collapsed="false">
      <c r="A511" s="88" t="s">
        <v>204</v>
      </c>
      <c r="B511" s="97" t="n">
        <v>3</v>
      </c>
      <c r="C511" s="88" t="s">
        <v>491</v>
      </c>
      <c r="D511" s="88" t="s">
        <v>476</v>
      </c>
      <c r="E511" s="98" t="n">
        <v>60.3</v>
      </c>
      <c r="F511" s="102" t="n">
        <f aca="false">$E511*Parametros!$C$22</f>
        <v>289.44</v>
      </c>
      <c r="G511" s="90" t="n">
        <v>1.04</v>
      </c>
      <c r="H511" s="102" t="n">
        <f aca="false">$E511*Parametros!$C$23</f>
        <v>36.18</v>
      </c>
      <c r="I511" s="90" t="n">
        <v>0.0959</v>
      </c>
    </row>
    <row r="512" customFormat="false" ht="15" hidden="false" customHeight="false" outlineLevel="0" collapsed="false">
      <c r="A512" s="88" t="s">
        <v>204</v>
      </c>
      <c r="B512" s="97" t="n">
        <v>3</v>
      </c>
      <c r="C512" s="88" t="s">
        <v>491</v>
      </c>
      <c r="D512" s="88" t="s">
        <v>477</v>
      </c>
      <c r="E512" s="98" t="n">
        <v>60.3</v>
      </c>
      <c r="F512" s="102" t="n">
        <f aca="false">$E512*Parametros!$C$22</f>
        <v>289.44</v>
      </c>
      <c r="G512" s="90"/>
      <c r="H512" s="102" t="n">
        <f aca="false">$E512*Parametros!$C$23</f>
        <v>36.18</v>
      </c>
      <c r="I512" s="90" t="n">
        <v>0.0521</v>
      </c>
    </row>
    <row r="513" customFormat="false" ht="15" hidden="false" customHeight="false" outlineLevel="0" collapsed="false">
      <c r="A513" s="88" t="s">
        <v>204</v>
      </c>
      <c r="B513" s="97" t="n">
        <v>3</v>
      </c>
      <c r="C513" s="88" t="s">
        <v>491</v>
      </c>
      <c r="D513" s="88" t="s">
        <v>478</v>
      </c>
      <c r="E513" s="98" t="n">
        <v>60.3</v>
      </c>
      <c r="F513" s="102" t="n">
        <f aca="false">$E513*Parametros!$C$22</f>
        <v>289.44</v>
      </c>
      <c r="G513" s="90"/>
      <c r="H513" s="102" t="n">
        <f aca="false">$E513*Parametros!$C$23</f>
        <v>36.18</v>
      </c>
      <c r="I513" s="90" t="n">
        <v>0.0662</v>
      </c>
    </row>
    <row r="514" customFormat="false" ht="15" hidden="false" customHeight="false" outlineLevel="0" collapsed="false">
      <c r="A514" s="88" t="s">
        <v>204</v>
      </c>
      <c r="B514" s="97" t="n">
        <v>3</v>
      </c>
      <c r="C514" s="88" t="s">
        <v>491</v>
      </c>
      <c r="D514" s="88" t="s">
        <v>479</v>
      </c>
      <c r="E514" s="98" t="n">
        <v>60.3</v>
      </c>
      <c r="F514" s="102" t="n">
        <f aca="false">$E514*Parametros!$C$22</f>
        <v>289.44</v>
      </c>
      <c r="G514" s="90"/>
      <c r="H514" s="102" t="n">
        <f aca="false">$E514*Parametros!$C$23</f>
        <v>36.18</v>
      </c>
      <c r="I514" s="90" t="n">
        <v>0.0935</v>
      </c>
    </row>
    <row r="515" customFormat="false" ht="15" hidden="false" customHeight="false" outlineLevel="0" collapsed="false">
      <c r="A515" s="88" t="s">
        <v>204</v>
      </c>
      <c r="B515" s="97" t="n">
        <v>3</v>
      </c>
      <c r="C515" s="88" t="s">
        <v>491</v>
      </c>
      <c r="D515" s="88" t="s">
        <v>480</v>
      </c>
      <c r="E515" s="98" t="n">
        <v>60.3</v>
      </c>
      <c r="F515" s="102" t="n">
        <f aca="false">$E515*Parametros!$C$22</f>
        <v>289.44</v>
      </c>
      <c r="G515" s="90" t="n">
        <v>0.463</v>
      </c>
      <c r="H515" s="102" t="n">
        <f aca="false">$E515*Parametros!$C$23</f>
        <v>36.18</v>
      </c>
      <c r="I515" s="90" t="n">
        <v>0.0946</v>
      </c>
    </row>
    <row r="516" customFormat="false" ht="15" hidden="false" customHeight="false" outlineLevel="0" collapsed="false">
      <c r="A516" s="88" t="s">
        <v>204</v>
      </c>
      <c r="B516" s="97" t="n">
        <v>3</v>
      </c>
      <c r="C516" s="88" t="s">
        <v>491</v>
      </c>
      <c r="D516" s="88" t="s">
        <v>481</v>
      </c>
      <c r="E516" s="98" t="n">
        <v>60.3</v>
      </c>
      <c r="F516" s="102" t="n">
        <f aca="false">$E516*Parametros!$C$22</f>
        <v>289.44</v>
      </c>
      <c r="G516" s="90"/>
      <c r="H516" s="102" t="n">
        <f aca="false">$E516*Parametros!$C$23</f>
        <v>36.18</v>
      </c>
      <c r="I516" s="90" t="n">
        <v>0.238</v>
      </c>
    </row>
    <row r="517" customFormat="false" ht="15" hidden="false" customHeight="false" outlineLevel="0" collapsed="false">
      <c r="A517" s="88" t="s">
        <v>204</v>
      </c>
      <c r="B517" s="97" t="n">
        <v>3</v>
      </c>
      <c r="C517" s="88" t="s">
        <v>491</v>
      </c>
      <c r="D517" s="88" t="s">
        <v>482</v>
      </c>
      <c r="E517" s="98" t="n">
        <v>60.3</v>
      </c>
      <c r="F517" s="102" t="n">
        <f aca="false">$E517*Parametros!$C$22</f>
        <v>289.44</v>
      </c>
      <c r="G517" s="90"/>
      <c r="H517" s="102" t="n">
        <f aca="false">$E517*Parametros!$C$23</f>
        <v>36.18</v>
      </c>
      <c r="I517" s="90" t="n">
        <v>0.0946</v>
      </c>
    </row>
    <row r="518" customFormat="false" ht="15" hidden="false" customHeight="false" outlineLevel="0" collapsed="false">
      <c r="A518" s="88" t="s">
        <v>204</v>
      </c>
      <c r="B518" s="97" t="n">
        <v>3</v>
      </c>
      <c r="C518" s="88" t="s">
        <v>491</v>
      </c>
      <c r="D518" s="88" t="s">
        <v>483</v>
      </c>
      <c r="E518" s="98" t="n">
        <v>60.3</v>
      </c>
      <c r="F518" s="102" t="n">
        <f aca="false">$E518*Parametros!$C$22</f>
        <v>289.44</v>
      </c>
      <c r="G518" s="90"/>
      <c r="H518" s="102" t="n">
        <f aca="false">$E518*Parametros!$C$23</f>
        <v>36.18</v>
      </c>
      <c r="I518" s="90" t="n">
        <v>0.0662</v>
      </c>
    </row>
    <row r="519" customFormat="false" ht="15" hidden="false" customHeight="false" outlineLevel="0" collapsed="false">
      <c r="A519" s="88" t="s">
        <v>204</v>
      </c>
      <c r="B519" s="97" t="n">
        <v>3</v>
      </c>
      <c r="C519" s="88" t="s">
        <v>491</v>
      </c>
      <c r="D519" s="88" t="s">
        <v>484</v>
      </c>
      <c r="E519" s="98" t="n">
        <v>60.3</v>
      </c>
      <c r="F519" s="102" t="n">
        <f aca="false">$E519*Parametros!$C$22</f>
        <v>289.44</v>
      </c>
      <c r="G519" s="90" t="n">
        <v>2.35</v>
      </c>
      <c r="H519" s="102" t="n">
        <f aca="false">$E519*Parametros!$C$23</f>
        <v>36.18</v>
      </c>
      <c r="I519" s="90" t="n">
        <v>0.115</v>
      </c>
    </row>
    <row r="520" customFormat="false" ht="15" hidden="false" customHeight="false" outlineLevel="0" collapsed="false">
      <c r="A520" s="88" t="s">
        <v>204</v>
      </c>
      <c r="B520" s="97" t="n">
        <v>3</v>
      </c>
      <c r="C520" s="88" t="s">
        <v>491</v>
      </c>
      <c r="D520" s="88" t="s">
        <v>485</v>
      </c>
      <c r="E520" s="98" t="n">
        <v>60.3</v>
      </c>
      <c r="F520" s="102" t="n">
        <f aca="false">$E520*Parametros!$C$22</f>
        <v>289.44</v>
      </c>
      <c r="G520" s="90"/>
      <c r="H520" s="102" t="n">
        <f aca="false">$E520*Parametros!$C$23</f>
        <v>36.18</v>
      </c>
      <c r="I520" s="90" t="n">
        <v>0.07</v>
      </c>
    </row>
    <row r="521" customFormat="false" ht="15" hidden="false" customHeight="false" outlineLevel="0" collapsed="false">
      <c r="A521" s="88" t="s">
        <v>204</v>
      </c>
      <c r="B521" s="97" t="n">
        <v>3</v>
      </c>
      <c r="C521" s="88" t="s">
        <v>491</v>
      </c>
      <c r="D521" s="88" t="s">
        <v>486</v>
      </c>
      <c r="E521" s="98" t="n">
        <v>60.3</v>
      </c>
      <c r="F521" s="102" t="n">
        <f aca="false">$E521*Parametros!$C$22</f>
        <v>289.44</v>
      </c>
      <c r="G521" s="90" t="n">
        <v>2.42</v>
      </c>
      <c r="H521" s="102" t="n">
        <f aca="false">$E521*Parametros!$C$23</f>
        <v>36.18</v>
      </c>
      <c r="I521" s="90" t="n">
        <v>0.082</v>
      </c>
    </row>
    <row r="522" customFormat="false" ht="15" hidden="false" customHeight="false" outlineLevel="0" collapsed="false">
      <c r="A522" s="88" t="s">
        <v>204</v>
      </c>
      <c r="B522" s="97" t="n">
        <v>3</v>
      </c>
      <c r="C522" s="88" t="s">
        <v>491</v>
      </c>
      <c r="D522" s="88" t="s">
        <v>487</v>
      </c>
      <c r="E522" s="98" t="n">
        <v>60.3</v>
      </c>
      <c r="F522" s="102" t="n">
        <f aca="false">$E522*Parametros!$C$22</f>
        <v>289.44</v>
      </c>
      <c r="G522" s="90" t="n">
        <v>2.22</v>
      </c>
      <c r="H522" s="102" t="n">
        <f aca="false">$E522*Parametros!$C$23</f>
        <v>36.18</v>
      </c>
      <c r="I522" s="90" t="n">
        <v>0.236</v>
      </c>
    </row>
    <row r="523" customFormat="false" ht="15" hidden="false" customHeight="false" outlineLevel="0" collapsed="false">
      <c r="A523" s="88" t="s">
        <v>204</v>
      </c>
      <c r="B523" s="97" t="n">
        <v>3</v>
      </c>
      <c r="C523" s="88" t="s">
        <v>491</v>
      </c>
      <c r="D523" s="88" t="s">
        <v>488</v>
      </c>
      <c r="E523" s="98" t="n">
        <v>60.3</v>
      </c>
      <c r="F523" s="102" t="n">
        <f aca="false">$E523*Parametros!$C$22</f>
        <v>289.44</v>
      </c>
      <c r="G523" s="90"/>
      <c r="H523" s="102" t="n">
        <f aca="false">$E523*Parametros!$C$23</f>
        <v>36.18</v>
      </c>
      <c r="I523" s="90" t="n">
        <v>0.0959</v>
      </c>
    </row>
    <row r="524" customFormat="false" ht="15" hidden="false" customHeight="false" outlineLevel="0" collapsed="false">
      <c r="A524" s="88" t="s">
        <v>204</v>
      </c>
      <c r="B524" s="97" t="n">
        <v>3</v>
      </c>
      <c r="C524" s="88" t="s">
        <v>491</v>
      </c>
      <c r="D524" s="88" t="s">
        <v>472</v>
      </c>
      <c r="E524" s="98" t="n">
        <v>60.3</v>
      </c>
      <c r="F524" s="102" t="n">
        <f aca="false">$E524*Parametros!$C$22</f>
        <v>289.44</v>
      </c>
      <c r="G524" s="90"/>
      <c r="H524" s="102" t="n">
        <f aca="false">$E524*Parametros!$C$23</f>
        <v>36.18</v>
      </c>
      <c r="I524" s="90" t="n">
        <v>0.206</v>
      </c>
    </row>
    <row r="525" customFormat="false" ht="15" hidden="false" customHeight="false" outlineLevel="0" collapsed="false">
      <c r="A525" s="88" t="s">
        <v>204</v>
      </c>
      <c r="B525" s="97" t="n">
        <v>3</v>
      </c>
      <c r="C525" s="88" t="s">
        <v>491</v>
      </c>
      <c r="D525" s="88" t="s">
        <v>375</v>
      </c>
      <c r="E525" s="98" t="n">
        <v>60.3</v>
      </c>
      <c r="F525" s="102" t="n">
        <f aca="false">$E525*Parametros!$C$22</f>
        <v>289.44</v>
      </c>
      <c r="G525" s="90" t="n">
        <v>0.752</v>
      </c>
      <c r="H525" s="102" t="n">
        <f aca="false">$E525*Parametros!$C$23</f>
        <v>36.18</v>
      </c>
      <c r="I525" s="90" t="n">
        <v>0.0959</v>
      </c>
    </row>
    <row r="526" customFormat="false" ht="15" hidden="false" customHeight="false" outlineLevel="0" collapsed="false">
      <c r="A526" s="88" t="s">
        <v>204</v>
      </c>
      <c r="B526" s="97" t="n">
        <v>3</v>
      </c>
      <c r="C526" s="88" t="s">
        <v>491</v>
      </c>
      <c r="D526" s="88" t="s">
        <v>375</v>
      </c>
      <c r="E526" s="98" t="n">
        <v>60.3</v>
      </c>
      <c r="F526" s="102" t="n">
        <f aca="false">$E526*Parametros!$C$22</f>
        <v>289.44</v>
      </c>
      <c r="G526" s="90" t="n">
        <v>0.752</v>
      </c>
      <c r="H526" s="102" t="n">
        <f aca="false">$E526*Parametros!$C$23</f>
        <v>36.18</v>
      </c>
      <c r="I526" s="90" t="n">
        <v>0.0959</v>
      </c>
    </row>
    <row r="527" customFormat="false" ht="15" hidden="false" customHeight="false" outlineLevel="0" collapsed="false">
      <c r="A527" s="88" t="s">
        <v>204</v>
      </c>
      <c r="B527" s="97" t="n">
        <v>3</v>
      </c>
      <c r="C527" s="88" t="s">
        <v>491</v>
      </c>
      <c r="D527" s="88" t="s">
        <v>489</v>
      </c>
      <c r="E527" s="98" t="n">
        <v>60.3</v>
      </c>
      <c r="F527" s="102" t="n">
        <f aca="false">$E527*Parametros!$C$22</f>
        <v>289.44</v>
      </c>
      <c r="G527" s="90"/>
      <c r="H527" s="102" t="n">
        <f aca="false">$E527*Parametros!$C$23</f>
        <v>36.18</v>
      </c>
      <c r="I527" s="90" t="n">
        <v>0.173</v>
      </c>
    </row>
    <row r="528" customFormat="false" ht="22.35" hidden="false" customHeight="false" outlineLevel="0" collapsed="false">
      <c r="A528" s="88" t="s">
        <v>204</v>
      </c>
      <c r="B528" s="97" t="n">
        <v>4</v>
      </c>
      <c r="C528" s="88" t="s">
        <v>209</v>
      </c>
      <c r="D528" s="88" t="s">
        <v>475</v>
      </c>
      <c r="E528" s="98" t="n">
        <v>631.3</v>
      </c>
      <c r="F528" s="102" t="n">
        <f aca="false">$E528*Parametros!$C$22</f>
        <v>3030.24</v>
      </c>
      <c r="G528" s="90" t="n">
        <v>3.54</v>
      </c>
      <c r="H528" s="102" t="n">
        <f aca="false">$E528*Parametros!$C$23</f>
        <v>378.78</v>
      </c>
      <c r="I528" s="90" t="n">
        <v>0.445</v>
      </c>
    </row>
    <row r="529" customFormat="false" ht="22.35" hidden="false" customHeight="false" outlineLevel="0" collapsed="false">
      <c r="A529" s="88" t="s">
        <v>204</v>
      </c>
      <c r="B529" s="97" t="n">
        <v>4</v>
      </c>
      <c r="C529" s="88" t="s">
        <v>209</v>
      </c>
      <c r="D529" s="88" t="s">
        <v>477</v>
      </c>
      <c r="E529" s="98" t="n">
        <v>631.3</v>
      </c>
      <c r="F529" s="102" t="n">
        <f aca="false">$E529*Parametros!$C$22</f>
        <v>3030.24</v>
      </c>
      <c r="G529" s="90"/>
      <c r="H529" s="102" t="n">
        <f aca="false">$E529*Parametros!$C$23</f>
        <v>378.78</v>
      </c>
      <c r="I529" s="90" t="n">
        <v>2.02</v>
      </c>
    </row>
    <row r="530" customFormat="false" ht="22.35" hidden="false" customHeight="false" outlineLevel="0" collapsed="false">
      <c r="A530" s="88" t="s">
        <v>204</v>
      </c>
      <c r="B530" s="97" t="n">
        <v>4</v>
      </c>
      <c r="C530" s="88" t="s">
        <v>209</v>
      </c>
      <c r="D530" s="88" t="s">
        <v>478</v>
      </c>
      <c r="E530" s="98" t="n">
        <v>631.3</v>
      </c>
      <c r="F530" s="102" t="n">
        <f aca="false">$E530*Parametros!$C$22</f>
        <v>3030.24</v>
      </c>
      <c r="G530" s="90"/>
      <c r="H530" s="102" t="n">
        <f aca="false">$E530*Parametros!$C$23</f>
        <v>378.78</v>
      </c>
      <c r="I530" s="90" t="n">
        <v>0.0662</v>
      </c>
    </row>
    <row r="531" customFormat="false" ht="22.35" hidden="false" customHeight="false" outlineLevel="0" collapsed="false">
      <c r="A531" s="88" t="s">
        <v>204</v>
      </c>
      <c r="B531" s="97" t="n">
        <v>4</v>
      </c>
      <c r="C531" s="88" t="s">
        <v>209</v>
      </c>
      <c r="D531" s="88" t="s">
        <v>479</v>
      </c>
      <c r="E531" s="98" t="n">
        <v>631.3</v>
      </c>
      <c r="F531" s="102" t="n">
        <f aca="false">$E531*Parametros!$C$22</f>
        <v>3030.24</v>
      </c>
      <c r="G531" s="90"/>
      <c r="H531" s="102" t="n">
        <f aca="false">$E531*Parametros!$C$23</f>
        <v>378.78</v>
      </c>
      <c r="I531" s="90" t="n">
        <v>0.448</v>
      </c>
    </row>
    <row r="532" customFormat="false" ht="22.35" hidden="false" customHeight="false" outlineLevel="0" collapsed="false">
      <c r="A532" s="88" t="s">
        <v>204</v>
      </c>
      <c r="B532" s="97" t="n">
        <v>4</v>
      </c>
      <c r="C532" s="88" t="s">
        <v>209</v>
      </c>
      <c r="D532" s="88" t="s">
        <v>480</v>
      </c>
      <c r="E532" s="98" t="n">
        <v>631.3</v>
      </c>
      <c r="F532" s="102" t="n">
        <f aca="false">$E532*Parametros!$C$22</f>
        <v>3030.24</v>
      </c>
      <c r="G532" s="90" t="n">
        <v>6.14</v>
      </c>
      <c r="H532" s="102" t="n">
        <f aca="false">$E532*Parametros!$C$23</f>
        <v>378.78</v>
      </c>
      <c r="I532" s="90" t="n">
        <v>0.444</v>
      </c>
    </row>
    <row r="533" customFormat="false" ht="22.35" hidden="false" customHeight="false" outlineLevel="0" collapsed="false">
      <c r="A533" s="88" t="s">
        <v>204</v>
      </c>
      <c r="B533" s="97" t="n">
        <v>4</v>
      </c>
      <c r="C533" s="88" t="s">
        <v>209</v>
      </c>
      <c r="D533" s="88" t="s">
        <v>481</v>
      </c>
      <c r="E533" s="98" t="n">
        <v>631.3</v>
      </c>
      <c r="F533" s="102" t="n">
        <f aca="false">$E533*Parametros!$C$22</f>
        <v>3030.24</v>
      </c>
      <c r="G533" s="90"/>
      <c r="H533" s="102" t="n">
        <f aca="false">$E533*Parametros!$C$23</f>
        <v>378.78</v>
      </c>
      <c r="I533" s="90" t="n">
        <v>0.728</v>
      </c>
    </row>
    <row r="534" customFormat="false" ht="22.35" hidden="false" customHeight="false" outlineLevel="0" collapsed="false">
      <c r="A534" s="88" t="s">
        <v>204</v>
      </c>
      <c r="B534" s="97" t="n">
        <v>4</v>
      </c>
      <c r="C534" s="88" t="s">
        <v>209</v>
      </c>
      <c r="D534" s="88" t="s">
        <v>483</v>
      </c>
      <c r="E534" s="98" t="n">
        <v>631.3</v>
      </c>
      <c r="F534" s="102" t="n">
        <f aca="false">$E534*Parametros!$C$22</f>
        <v>3030.24</v>
      </c>
      <c r="G534" s="90"/>
      <c r="H534" s="102" t="n">
        <f aca="false">$E534*Parametros!$C$23</f>
        <v>378.78</v>
      </c>
      <c r="I534" s="90" t="n">
        <v>0.404</v>
      </c>
    </row>
    <row r="535" customFormat="false" ht="22.35" hidden="false" customHeight="false" outlineLevel="0" collapsed="false">
      <c r="A535" s="88" t="s">
        <v>204</v>
      </c>
      <c r="B535" s="97" t="n">
        <v>4</v>
      </c>
      <c r="C535" s="88" t="s">
        <v>209</v>
      </c>
      <c r="D535" s="88" t="s">
        <v>484</v>
      </c>
      <c r="E535" s="98" t="n">
        <v>631.3</v>
      </c>
      <c r="F535" s="102" t="n">
        <f aca="false">$E535*Parametros!$C$22</f>
        <v>3030.24</v>
      </c>
      <c r="G535" s="90" t="n">
        <v>8.05</v>
      </c>
      <c r="H535" s="102" t="n">
        <f aca="false">$E535*Parametros!$C$23</f>
        <v>378.78</v>
      </c>
      <c r="I535" s="90" t="n">
        <v>0.67</v>
      </c>
    </row>
    <row r="536" customFormat="false" ht="22.35" hidden="false" customHeight="false" outlineLevel="0" collapsed="false">
      <c r="A536" s="88" t="s">
        <v>204</v>
      </c>
      <c r="B536" s="97" t="n">
        <v>4</v>
      </c>
      <c r="C536" s="88" t="s">
        <v>209</v>
      </c>
      <c r="D536" s="88" t="s">
        <v>485</v>
      </c>
      <c r="E536" s="98" t="n">
        <v>631.3</v>
      </c>
      <c r="F536" s="102" t="n">
        <f aca="false">$E536*Parametros!$C$22</f>
        <v>3030.24</v>
      </c>
      <c r="G536" s="90"/>
      <c r="H536" s="102" t="n">
        <f aca="false">$E536*Parametros!$C$23</f>
        <v>378.78</v>
      </c>
      <c r="I536" s="90" t="n">
        <v>3.73</v>
      </c>
    </row>
    <row r="537" customFormat="false" ht="22.35" hidden="false" customHeight="false" outlineLevel="0" collapsed="false">
      <c r="A537" s="88" t="s">
        <v>204</v>
      </c>
      <c r="B537" s="97" t="n">
        <v>4</v>
      </c>
      <c r="C537" s="88" t="s">
        <v>209</v>
      </c>
      <c r="D537" s="88" t="s">
        <v>486</v>
      </c>
      <c r="E537" s="98" t="n">
        <v>631.3</v>
      </c>
      <c r="F537" s="102" t="n">
        <f aca="false">$E537*Parametros!$C$22</f>
        <v>3030.24</v>
      </c>
      <c r="G537" s="90" t="n">
        <v>5.2</v>
      </c>
      <c r="H537" s="102" t="n">
        <f aca="false">$E537*Parametros!$C$23</f>
        <v>378.78</v>
      </c>
      <c r="I537" s="90" t="n">
        <v>0.259</v>
      </c>
    </row>
    <row r="538" customFormat="false" ht="22.35" hidden="false" customHeight="false" outlineLevel="0" collapsed="false">
      <c r="A538" s="88" t="s">
        <v>204</v>
      </c>
      <c r="B538" s="97" t="n">
        <v>4</v>
      </c>
      <c r="C538" s="88" t="s">
        <v>209</v>
      </c>
      <c r="D538" s="88" t="s">
        <v>487</v>
      </c>
      <c r="E538" s="98" t="n">
        <v>631.3</v>
      </c>
      <c r="F538" s="102" t="n">
        <f aca="false">$E538*Parametros!$C$22</f>
        <v>3030.24</v>
      </c>
      <c r="G538" s="90" t="n">
        <v>3.62</v>
      </c>
      <c r="H538" s="102" t="n">
        <f aca="false">$E538*Parametros!$C$23</f>
        <v>378.78</v>
      </c>
      <c r="I538" s="90" t="n">
        <v>0.572</v>
      </c>
    </row>
    <row r="539" customFormat="false" ht="22.35" hidden="false" customHeight="false" outlineLevel="0" collapsed="false">
      <c r="A539" s="88" t="s">
        <v>204</v>
      </c>
      <c r="B539" s="97" t="n">
        <v>4</v>
      </c>
      <c r="C539" s="88" t="s">
        <v>209</v>
      </c>
      <c r="D539" s="88" t="s">
        <v>472</v>
      </c>
      <c r="E539" s="98" t="n">
        <v>631.3</v>
      </c>
      <c r="F539" s="102" t="n">
        <f aca="false">$E539*Parametros!$C$22</f>
        <v>3030.24</v>
      </c>
      <c r="G539" s="90"/>
      <c r="H539" s="102" t="n">
        <f aca="false">$E539*Parametros!$C$23</f>
        <v>378.78</v>
      </c>
      <c r="I539" s="90" t="n">
        <v>0.436</v>
      </c>
    </row>
    <row r="540" customFormat="false" ht="22.35" hidden="false" customHeight="false" outlineLevel="0" collapsed="false">
      <c r="A540" s="88" t="s">
        <v>204</v>
      </c>
      <c r="B540" s="97" t="n">
        <v>4</v>
      </c>
      <c r="C540" s="88" t="s">
        <v>209</v>
      </c>
      <c r="D540" s="88" t="s">
        <v>489</v>
      </c>
      <c r="E540" s="98" t="n">
        <v>631.3</v>
      </c>
      <c r="F540" s="102" t="n">
        <f aca="false">$E540*Parametros!$C$22</f>
        <v>3030.24</v>
      </c>
      <c r="G540" s="90"/>
      <c r="H540" s="102" t="n">
        <f aca="false">$E540*Parametros!$C$23</f>
        <v>378.78</v>
      </c>
      <c r="I540" s="90" t="n">
        <v>0.213</v>
      </c>
    </row>
    <row r="541" customFormat="false" ht="15" hidden="false" customHeight="false" outlineLevel="0" collapsed="false">
      <c r="A541" s="88" t="s">
        <v>212</v>
      </c>
      <c r="B541" s="97" t="n">
        <v>1</v>
      </c>
      <c r="C541" s="88" t="s">
        <v>213</v>
      </c>
      <c r="D541" s="88" t="s">
        <v>475</v>
      </c>
      <c r="E541" s="98" t="n">
        <v>80.47</v>
      </c>
      <c r="F541" s="102" t="n">
        <f aca="false">$E541*Parametros!$C$22</f>
        <v>386.256</v>
      </c>
      <c r="G541" s="90" t="n">
        <v>6.56</v>
      </c>
      <c r="H541" s="102" t="n">
        <f aca="false">$E541*Parametros!$C$23</f>
        <v>48.282</v>
      </c>
      <c r="I541" s="90" t="n">
        <v>0.133</v>
      </c>
    </row>
    <row r="542" customFormat="false" ht="15" hidden="false" customHeight="false" outlineLevel="0" collapsed="false">
      <c r="A542" s="88" t="s">
        <v>212</v>
      </c>
      <c r="B542" s="97" t="n">
        <v>1</v>
      </c>
      <c r="C542" s="88" t="s">
        <v>213</v>
      </c>
      <c r="D542" s="88" t="s">
        <v>492</v>
      </c>
      <c r="E542" s="98" t="n">
        <v>80.47</v>
      </c>
      <c r="F542" s="102" t="n">
        <f aca="false">$E542*Parametros!$C$22</f>
        <v>386.256</v>
      </c>
      <c r="G542" s="90" t="n">
        <v>0.463</v>
      </c>
      <c r="H542" s="102" t="n">
        <f aca="false">$E542*Parametros!$C$23</f>
        <v>48.282</v>
      </c>
      <c r="I542" s="90" t="n">
        <v>0.0946</v>
      </c>
    </row>
    <row r="543" customFormat="false" ht="15" hidden="false" customHeight="false" outlineLevel="0" collapsed="false">
      <c r="A543" s="88" t="s">
        <v>212</v>
      </c>
      <c r="B543" s="97" t="n">
        <v>1</v>
      </c>
      <c r="C543" s="88" t="s">
        <v>213</v>
      </c>
      <c r="D543" s="88" t="s">
        <v>477</v>
      </c>
      <c r="E543" s="98" t="n">
        <v>80.47</v>
      </c>
      <c r="F543" s="102" t="n">
        <f aca="false">$E543*Parametros!$C$22</f>
        <v>386.256</v>
      </c>
      <c r="G543" s="90"/>
      <c r="H543" s="102" t="n">
        <f aca="false">$E543*Parametros!$C$23</f>
        <v>48.282</v>
      </c>
      <c r="I543" s="90" t="n">
        <v>0.245</v>
      </c>
    </row>
    <row r="544" customFormat="false" ht="15" hidden="false" customHeight="false" outlineLevel="0" collapsed="false">
      <c r="A544" s="88" t="s">
        <v>212</v>
      </c>
      <c r="B544" s="97" t="n">
        <v>1</v>
      </c>
      <c r="C544" s="88" t="s">
        <v>213</v>
      </c>
      <c r="D544" s="88" t="s">
        <v>493</v>
      </c>
      <c r="E544" s="98" t="n">
        <v>80.47</v>
      </c>
      <c r="F544" s="102" t="n">
        <f aca="false">$E544*Parametros!$C$22</f>
        <v>386.256</v>
      </c>
      <c r="G544" s="90" t="n">
        <v>0.605</v>
      </c>
      <c r="H544" s="102" t="n">
        <f aca="false">$E544*Parametros!$C$23</f>
        <v>48.282</v>
      </c>
      <c r="I544" s="90" t="n">
        <v>0.0959</v>
      </c>
    </row>
    <row r="545" customFormat="false" ht="15" hidden="false" customHeight="false" outlineLevel="0" collapsed="false">
      <c r="A545" s="88" t="s">
        <v>212</v>
      </c>
      <c r="B545" s="97" t="n">
        <v>1</v>
      </c>
      <c r="C545" s="88" t="s">
        <v>213</v>
      </c>
      <c r="D545" s="88" t="s">
        <v>494</v>
      </c>
      <c r="E545" s="98" t="n">
        <v>80.47</v>
      </c>
      <c r="F545" s="102" t="n">
        <f aca="false">$E545*Parametros!$C$22</f>
        <v>386.256</v>
      </c>
      <c r="G545" s="90"/>
      <c r="H545" s="102" t="n">
        <f aca="false">$E545*Parametros!$C$23</f>
        <v>48.282</v>
      </c>
      <c r="I545" s="90" t="n">
        <v>0.0662</v>
      </c>
    </row>
    <row r="546" customFormat="false" ht="15" hidden="false" customHeight="false" outlineLevel="0" collapsed="false">
      <c r="A546" s="88" t="s">
        <v>212</v>
      </c>
      <c r="B546" s="97" t="n">
        <v>1</v>
      </c>
      <c r="C546" s="88" t="s">
        <v>213</v>
      </c>
      <c r="D546" s="88" t="s">
        <v>495</v>
      </c>
      <c r="E546" s="98" t="n">
        <v>80.47</v>
      </c>
      <c r="F546" s="102" t="n">
        <f aca="false">$E546*Parametros!$C$22</f>
        <v>386.256</v>
      </c>
      <c r="G546" s="90" t="n">
        <v>1.28</v>
      </c>
      <c r="H546" s="102" t="n">
        <f aca="false">$E546*Parametros!$C$23</f>
        <v>48.282</v>
      </c>
      <c r="I546" s="90" t="n">
        <v>0.0946</v>
      </c>
    </row>
    <row r="547" customFormat="false" ht="15" hidden="false" customHeight="false" outlineLevel="0" collapsed="false">
      <c r="A547" s="88" t="s">
        <v>212</v>
      </c>
      <c r="B547" s="97" t="n">
        <v>1</v>
      </c>
      <c r="C547" s="88" t="s">
        <v>213</v>
      </c>
      <c r="D547" s="88" t="s">
        <v>496</v>
      </c>
      <c r="E547" s="98" t="n">
        <v>80.47</v>
      </c>
      <c r="F547" s="102" t="n">
        <f aca="false">$E547*Parametros!$C$22</f>
        <v>386.256</v>
      </c>
      <c r="G547" s="90"/>
      <c r="H547" s="102" t="n">
        <f aca="false">$E547*Parametros!$C$23</f>
        <v>48.282</v>
      </c>
      <c r="I547" s="90" t="n">
        <v>0.0662</v>
      </c>
    </row>
    <row r="548" customFormat="false" ht="15" hidden="false" customHeight="false" outlineLevel="0" collapsed="false">
      <c r="A548" s="88" t="s">
        <v>212</v>
      </c>
      <c r="B548" s="97" t="n">
        <v>1</v>
      </c>
      <c r="C548" s="88" t="s">
        <v>213</v>
      </c>
      <c r="D548" s="88" t="s">
        <v>497</v>
      </c>
      <c r="E548" s="98" t="n">
        <v>80.47</v>
      </c>
      <c r="F548" s="102" t="n">
        <f aca="false">$E548*Parametros!$C$22</f>
        <v>386.256</v>
      </c>
      <c r="G548" s="90"/>
      <c r="H548" s="102" t="n">
        <f aca="false">$E548*Parametros!$C$23</f>
        <v>48.282</v>
      </c>
      <c r="I548" s="90" t="n">
        <v>0.0935</v>
      </c>
    </row>
    <row r="549" customFormat="false" ht="15" hidden="false" customHeight="false" outlineLevel="0" collapsed="false">
      <c r="A549" s="88" t="s">
        <v>212</v>
      </c>
      <c r="B549" s="97" t="n">
        <v>1</v>
      </c>
      <c r="C549" s="88" t="s">
        <v>213</v>
      </c>
      <c r="D549" s="88" t="s">
        <v>498</v>
      </c>
      <c r="E549" s="98" t="n">
        <v>80.47</v>
      </c>
      <c r="F549" s="102" t="n">
        <f aca="false">$E549*Parametros!$C$22</f>
        <v>386.256</v>
      </c>
      <c r="G549" s="90" t="n">
        <v>0.5</v>
      </c>
      <c r="H549" s="102" t="n">
        <f aca="false">$E549*Parametros!$C$23</f>
        <v>48.282</v>
      </c>
      <c r="I549" s="90" t="n">
        <v>0.0959</v>
      </c>
    </row>
    <row r="550" customFormat="false" ht="15" hidden="false" customHeight="false" outlineLevel="0" collapsed="false">
      <c r="A550" s="88" t="s">
        <v>212</v>
      </c>
      <c r="B550" s="97" t="n">
        <v>1</v>
      </c>
      <c r="C550" s="88" t="s">
        <v>213</v>
      </c>
      <c r="D550" s="88" t="s">
        <v>499</v>
      </c>
      <c r="E550" s="98" t="n">
        <v>80.47</v>
      </c>
      <c r="F550" s="102" t="n">
        <f aca="false">$E550*Parametros!$C$22</f>
        <v>386.256</v>
      </c>
      <c r="G550" s="90"/>
      <c r="H550" s="102" t="n">
        <f aca="false">$E550*Parametros!$C$23</f>
        <v>48.282</v>
      </c>
      <c r="I550" s="90" t="n">
        <v>0.0959</v>
      </c>
    </row>
    <row r="551" customFormat="false" ht="15" hidden="false" customHeight="false" outlineLevel="0" collapsed="false">
      <c r="A551" s="88" t="s">
        <v>212</v>
      </c>
      <c r="B551" s="97" t="n">
        <v>1</v>
      </c>
      <c r="C551" s="88" t="s">
        <v>213</v>
      </c>
      <c r="D551" s="88" t="s">
        <v>485</v>
      </c>
      <c r="E551" s="98" t="n">
        <v>80.47</v>
      </c>
      <c r="F551" s="102" t="n">
        <f aca="false">$E551*Parametros!$C$22</f>
        <v>386.256</v>
      </c>
      <c r="G551" s="90"/>
      <c r="H551" s="102" t="n">
        <f aca="false">$E551*Parametros!$C$23</f>
        <v>48.282</v>
      </c>
      <c r="I551" s="90" t="n">
        <v>0.09</v>
      </c>
    </row>
    <row r="552" customFormat="false" ht="15" hidden="false" customHeight="false" outlineLevel="0" collapsed="false">
      <c r="A552" s="88" t="s">
        <v>212</v>
      </c>
      <c r="B552" s="97" t="n">
        <v>1</v>
      </c>
      <c r="C552" s="88" t="s">
        <v>213</v>
      </c>
      <c r="D552" s="88" t="s">
        <v>486</v>
      </c>
      <c r="E552" s="98" t="n">
        <v>80.47</v>
      </c>
      <c r="F552" s="102" t="n">
        <f aca="false">$E552*Parametros!$C$22</f>
        <v>386.256</v>
      </c>
      <c r="G552" s="90" t="n">
        <v>2.64</v>
      </c>
      <c r="H552" s="102" t="n">
        <f aca="false">$E552*Parametros!$C$23</f>
        <v>48.282</v>
      </c>
      <c r="I552" s="90" t="n">
        <v>0.12</v>
      </c>
    </row>
    <row r="553" customFormat="false" ht="15" hidden="false" customHeight="false" outlineLevel="0" collapsed="false">
      <c r="A553" s="88" t="s">
        <v>212</v>
      </c>
      <c r="B553" s="97" t="n">
        <v>1</v>
      </c>
      <c r="C553" s="88" t="s">
        <v>213</v>
      </c>
      <c r="D553" s="88" t="s">
        <v>500</v>
      </c>
      <c r="E553" s="98" t="n">
        <v>80.47</v>
      </c>
      <c r="F553" s="102" t="n">
        <f aca="false">$E553*Parametros!$C$22</f>
        <v>386.256</v>
      </c>
      <c r="G553" s="90"/>
      <c r="H553" s="102" t="n">
        <f aca="false">$E553*Parametros!$C$23</f>
        <v>48.282</v>
      </c>
      <c r="I553" s="90" t="n">
        <v>0.0662</v>
      </c>
    </row>
    <row r="554" customFormat="false" ht="15" hidden="false" customHeight="false" outlineLevel="0" collapsed="false">
      <c r="A554" s="88" t="s">
        <v>212</v>
      </c>
      <c r="B554" s="97" t="n">
        <v>1</v>
      </c>
      <c r="C554" s="88" t="s">
        <v>213</v>
      </c>
      <c r="D554" s="88" t="s">
        <v>501</v>
      </c>
      <c r="E554" s="98" t="n">
        <v>80.47</v>
      </c>
      <c r="F554" s="102" t="n">
        <f aca="false">$E554*Parametros!$C$22</f>
        <v>386.256</v>
      </c>
      <c r="G554" s="90"/>
      <c r="H554" s="102" t="n">
        <f aca="false">$E554*Parametros!$C$23</f>
        <v>48.282</v>
      </c>
      <c r="I554" s="90" t="n">
        <v>0.0946</v>
      </c>
    </row>
    <row r="555" customFormat="false" ht="15" hidden="false" customHeight="false" outlineLevel="0" collapsed="false">
      <c r="A555" s="88" t="s">
        <v>212</v>
      </c>
      <c r="B555" s="97" t="n">
        <v>1</v>
      </c>
      <c r="C555" s="88" t="s">
        <v>213</v>
      </c>
      <c r="D555" s="88" t="s">
        <v>502</v>
      </c>
      <c r="E555" s="98" t="n">
        <v>80.47</v>
      </c>
      <c r="F555" s="102" t="n">
        <f aca="false">$E555*Parametros!$C$22</f>
        <v>386.256</v>
      </c>
      <c r="G555" s="90" t="n">
        <v>0.463</v>
      </c>
      <c r="H555" s="102" t="n">
        <f aca="false">$E555*Parametros!$C$23</f>
        <v>48.282</v>
      </c>
      <c r="I555" s="90" t="n">
        <v>0.0946</v>
      </c>
    </row>
    <row r="556" customFormat="false" ht="15" hidden="false" customHeight="false" outlineLevel="0" collapsed="false">
      <c r="A556" s="88" t="s">
        <v>212</v>
      </c>
      <c r="B556" s="97" t="n">
        <v>1</v>
      </c>
      <c r="C556" s="88" t="s">
        <v>213</v>
      </c>
      <c r="D556" s="88" t="s">
        <v>503</v>
      </c>
      <c r="E556" s="98" t="n">
        <v>80.47</v>
      </c>
      <c r="F556" s="102" t="n">
        <f aca="false">$E556*Parametros!$C$22</f>
        <v>386.256</v>
      </c>
      <c r="G556" s="90"/>
      <c r="H556" s="102" t="n">
        <f aca="false">$E556*Parametros!$C$23</f>
        <v>48.282</v>
      </c>
      <c r="I556" s="90" t="n">
        <v>0.0662</v>
      </c>
    </row>
    <row r="557" customFormat="false" ht="15" hidden="false" customHeight="false" outlineLevel="0" collapsed="false">
      <c r="A557" s="88" t="s">
        <v>212</v>
      </c>
      <c r="B557" s="97" t="n">
        <v>1</v>
      </c>
      <c r="C557" s="88" t="s">
        <v>213</v>
      </c>
      <c r="D557" s="88" t="s">
        <v>455</v>
      </c>
      <c r="E557" s="98" t="n">
        <v>80.47</v>
      </c>
      <c r="F557" s="102" t="n">
        <f aca="false">$E557*Parametros!$C$22</f>
        <v>386.256</v>
      </c>
      <c r="G557" s="90"/>
      <c r="H557" s="102" t="n">
        <f aca="false">$E557*Parametros!$C$23</f>
        <v>48.282</v>
      </c>
      <c r="I557" s="90" t="n">
        <v>0.0946</v>
      </c>
    </row>
    <row r="558" customFormat="false" ht="15" hidden="false" customHeight="false" outlineLevel="0" collapsed="false">
      <c r="A558" s="88" t="s">
        <v>212</v>
      </c>
      <c r="B558" s="97" t="n">
        <v>1</v>
      </c>
      <c r="C558" s="88" t="s">
        <v>213</v>
      </c>
      <c r="D558" s="88" t="s">
        <v>504</v>
      </c>
      <c r="E558" s="98" t="n">
        <v>80.47</v>
      </c>
      <c r="F558" s="102" t="n">
        <f aca="false">$E558*Parametros!$C$22</f>
        <v>386.256</v>
      </c>
      <c r="G558" s="90"/>
      <c r="H558" s="102" t="n">
        <f aca="false">$E558*Parametros!$C$23</f>
        <v>48.282</v>
      </c>
      <c r="I558" s="90" t="n">
        <v>0.207</v>
      </c>
    </row>
    <row r="559" customFormat="false" ht="15" hidden="false" customHeight="false" outlineLevel="0" collapsed="false">
      <c r="A559" s="88" t="s">
        <v>212</v>
      </c>
      <c r="B559" s="97" t="n">
        <v>2</v>
      </c>
      <c r="C559" s="88" t="s">
        <v>505</v>
      </c>
      <c r="D559" s="88" t="s">
        <v>475</v>
      </c>
      <c r="E559" s="98" t="n">
        <v>113.86</v>
      </c>
      <c r="F559" s="102" t="n">
        <f aca="false">$E559*Parametros!$C$22</f>
        <v>546.528</v>
      </c>
      <c r="G559" s="90" t="n">
        <v>5.92</v>
      </c>
      <c r="H559" s="102" t="n">
        <f aca="false">$E559*Parametros!$C$23</f>
        <v>68.316</v>
      </c>
      <c r="I559" s="90" t="n">
        <v>0.212</v>
      </c>
    </row>
    <row r="560" customFormat="false" ht="15" hidden="false" customHeight="false" outlineLevel="0" collapsed="false">
      <c r="A560" s="88" t="s">
        <v>212</v>
      </c>
      <c r="B560" s="97" t="n">
        <v>2</v>
      </c>
      <c r="C560" s="88" t="s">
        <v>505</v>
      </c>
      <c r="D560" s="88" t="s">
        <v>492</v>
      </c>
      <c r="E560" s="98" t="n">
        <v>113.86</v>
      </c>
      <c r="F560" s="102" t="n">
        <f aca="false">$E560*Parametros!$C$22</f>
        <v>546.528</v>
      </c>
      <c r="G560" s="90" t="n">
        <v>0.463</v>
      </c>
      <c r="H560" s="102" t="n">
        <f aca="false">$E560*Parametros!$C$23</f>
        <v>68.316</v>
      </c>
      <c r="I560" s="90" t="n">
        <v>0.0946</v>
      </c>
    </row>
    <row r="561" customFormat="false" ht="15" hidden="false" customHeight="false" outlineLevel="0" collapsed="false">
      <c r="A561" s="88" t="s">
        <v>212</v>
      </c>
      <c r="B561" s="97" t="n">
        <v>2</v>
      </c>
      <c r="C561" s="88" t="s">
        <v>505</v>
      </c>
      <c r="D561" s="88" t="s">
        <v>477</v>
      </c>
      <c r="E561" s="98" t="n">
        <v>113.86</v>
      </c>
      <c r="F561" s="102" t="n">
        <f aca="false">$E561*Parametros!$C$22</f>
        <v>546.528</v>
      </c>
      <c r="G561" s="90"/>
      <c r="H561" s="102" t="n">
        <f aca="false">$E561*Parametros!$C$23</f>
        <v>68.316</v>
      </c>
      <c r="I561" s="90" t="n">
        <v>0.0509</v>
      </c>
    </row>
    <row r="562" customFormat="false" ht="15" hidden="false" customHeight="false" outlineLevel="0" collapsed="false">
      <c r="A562" s="88" t="s">
        <v>212</v>
      </c>
      <c r="B562" s="97" t="n">
        <v>2</v>
      </c>
      <c r="C562" s="88" t="s">
        <v>505</v>
      </c>
      <c r="D562" s="88" t="s">
        <v>493</v>
      </c>
      <c r="E562" s="98" t="n">
        <v>113.86</v>
      </c>
      <c r="F562" s="102" t="n">
        <f aca="false">$E562*Parametros!$C$22</f>
        <v>546.528</v>
      </c>
      <c r="G562" s="90" t="n">
        <v>0.589</v>
      </c>
      <c r="H562" s="102" t="n">
        <f aca="false">$E562*Parametros!$C$23</f>
        <v>68.316</v>
      </c>
      <c r="I562" s="90" t="n">
        <v>0.0959</v>
      </c>
    </row>
    <row r="563" customFormat="false" ht="15" hidden="false" customHeight="false" outlineLevel="0" collapsed="false">
      <c r="A563" s="88" t="s">
        <v>212</v>
      </c>
      <c r="B563" s="97" t="n">
        <v>2</v>
      </c>
      <c r="C563" s="88" t="s">
        <v>505</v>
      </c>
      <c r="D563" s="88" t="s">
        <v>494</v>
      </c>
      <c r="E563" s="98" t="n">
        <v>113.86</v>
      </c>
      <c r="F563" s="102" t="n">
        <f aca="false">$E563*Parametros!$C$22</f>
        <v>546.528</v>
      </c>
      <c r="G563" s="90"/>
      <c r="H563" s="102" t="n">
        <f aca="false">$E563*Parametros!$C$23</f>
        <v>68.316</v>
      </c>
      <c r="I563" s="90" t="n">
        <v>0.0662</v>
      </c>
    </row>
    <row r="564" customFormat="false" ht="15" hidden="false" customHeight="false" outlineLevel="0" collapsed="false">
      <c r="A564" s="88" t="s">
        <v>212</v>
      </c>
      <c r="B564" s="97" t="n">
        <v>2</v>
      </c>
      <c r="C564" s="88" t="s">
        <v>505</v>
      </c>
      <c r="D564" s="88" t="s">
        <v>495</v>
      </c>
      <c r="E564" s="98" t="n">
        <v>113.86</v>
      </c>
      <c r="F564" s="102" t="n">
        <f aca="false">$E564*Parametros!$C$22</f>
        <v>546.528</v>
      </c>
      <c r="G564" s="90" t="n">
        <v>0.981</v>
      </c>
      <c r="H564" s="102" t="n">
        <f aca="false">$E564*Parametros!$C$23</f>
        <v>68.316</v>
      </c>
      <c r="I564" s="90" t="n">
        <v>0.0946</v>
      </c>
    </row>
    <row r="565" customFormat="false" ht="15" hidden="false" customHeight="false" outlineLevel="0" collapsed="false">
      <c r="A565" s="88" t="s">
        <v>212</v>
      </c>
      <c r="B565" s="97" t="n">
        <v>2</v>
      </c>
      <c r="C565" s="88" t="s">
        <v>505</v>
      </c>
      <c r="D565" s="88" t="s">
        <v>496</v>
      </c>
      <c r="E565" s="98" t="n">
        <v>113.86</v>
      </c>
      <c r="F565" s="102" t="n">
        <f aca="false">$E565*Parametros!$C$22</f>
        <v>546.528</v>
      </c>
      <c r="G565" s="90"/>
      <c r="H565" s="102" t="n">
        <f aca="false">$E565*Parametros!$C$23</f>
        <v>68.316</v>
      </c>
      <c r="I565" s="90" t="n">
        <v>0.0662</v>
      </c>
    </row>
    <row r="566" customFormat="false" ht="15" hidden="false" customHeight="false" outlineLevel="0" collapsed="false">
      <c r="A566" s="88" t="s">
        <v>212</v>
      </c>
      <c r="B566" s="97" t="n">
        <v>2</v>
      </c>
      <c r="C566" s="88" t="s">
        <v>505</v>
      </c>
      <c r="D566" s="88" t="s">
        <v>497</v>
      </c>
      <c r="E566" s="98" t="n">
        <v>113.86</v>
      </c>
      <c r="F566" s="102" t="n">
        <f aca="false">$E566*Parametros!$C$22</f>
        <v>546.528</v>
      </c>
      <c r="G566" s="90"/>
      <c r="H566" s="102" t="n">
        <f aca="false">$E566*Parametros!$C$23</f>
        <v>68.316</v>
      </c>
      <c r="I566" s="90" t="n">
        <v>0.0935</v>
      </c>
    </row>
    <row r="567" customFormat="false" ht="15" hidden="false" customHeight="false" outlineLevel="0" collapsed="false">
      <c r="A567" s="88" t="s">
        <v>212</v>
      </c>
      <c r="B567" s="97" t="n">
        <v>2</v>
      </c>
      <c r="C567" s="88" t="s">
        <v>505</v>
      </c>
      <c r="D567" s="88" t="s">
        <v>498</v>
      </c>
      <c r="E567" s="98" t="n">
        <v>113.86</v>
      </c>
      <c r="F567" s="102" t="n">
        <f aca="false">$E567*Parametros!$C$22</f>
        <v>546.528</v>
      </c>
      <c r="G567" s="90" t="n">
        <v>0.5</v>
      </c>
      <c r="H567" s="102" t="n">
        <f aca="false">$E567*Parametros!$C$23</f>
        <v>68.316</v>
      </c>
      <c r="I567" s="90" t="n">
        <v>0.0959</v>
      </c>
    </row>
    <row r="568" customFormat="false" ht="15" hidden="false" customHeight="false" outlineLevel="0" collapsed="false">
      <c r="A568" s="88" t="s">
        <v>212</v>
      </c>
      <c r="B568" s="97" t="n">
        <v>2</v>
      </c>
      <c r="C568" s="88" t="s">
        <v>505</v>
      </c>
      <c r="D568" s="88" t="s">
        <v>499</v>
      </c>
      <c r="E568" s="98" t="n">
        <v>113.86</v>
      </c>
      <c r="F568" s="102" t="n">
        <f aca="false">$E568*Parametros!$C$22</f>
        <v>546.528</v>
      </c>
      <c r="G568" s="90"/>
      <c r="H568" s="102" t="n">
        <f aca="false">$E568*Parametros!$C$23</f>
        <v>68.316</v>
      </c>
      <c r="I568" s="90" t="n">
        <v>0.124</v>
      </c>
    </row>
    <row r="569" customFormat="false" ht="15" hidden="false" customHeight="false" outlineLevel="0" collapsed="false">
      <c r="A569" s="88" t="s">
        <v>212</v>
      </c>
      <c r="B569" s="97" t="n">
        <v>2</v>
      </c>
      <c r="C569" s="88" t="s">
        <v>505</v>
      </c>
      <c r="D569" s="88" t="s">
        <v>485</v>
      </c>
      <c r="E569" s="98" t="n">
        <v>113.86</v>
      </c>
      <c r="F569" s="102" t="n">
        <f aca="false">$E569*Parametros!$C$22</f>
        <v>546.528</v>
      </c>
      <c r="G569" s="90"/>
      <c r="H569" s="102" t="n">
        <f aca="false">$E569*Parametros!$C$23</f>
        <v>68.316</v>
      </c>
      <c r="I569" s="90" t="n">
        <v>0.06</v>
      </c>
    </row>
    <row r="570" customFormat="false" ht="15" hidden="false" customHeight="false" outlineLevel="0" collapsed="false">
      <c r="A570" s="88" t="s">
        <v>212</v>
      </c>
      <c r="B570" s="97" t="n">
        <v>2</v>
      </c>
      <c r="C570" s="88" t="s">
        <v>505</v>
      </c>
      <c r="D570" s="88" t="s">
        <v>486</v>
      </c>
      <c r="E570" s="98" t="n">
        <v>113.86</v>
      </c>
      <c r="F570" s="102" t="n">
        <f aca="false">$E570*Parametros!$C$22</f>
        <v>546.528</v>
      </c>
      <c r="G570" s="90" t="n">
        <v>2.21</v>
      </c>
      <c r="H570" s="102" t="n">
        <f aca="false">$E570*Parametros!$C$23</f>
        <v>68.316</v>
      </c>
      <c r="I570" s="90" t="n">
        <v>0.0509</v>
      </c>
    </row>
    <row r="571" customFormat="false" ht="15" hidden="false" customHeight="false" outlineLevel="0" collapsed="false">
      <c r="A571" s="88" t="s">
        <v>212</v>
      </c>
      <c r="B571" s="97" t="n">
        <v>2</v>
      </c>
      <c r="C571" s="88" t="s">
        <v>505</v>
      </c>
      <c r="D571" s="88" t="s">
        <v>500</v>
      </c>
      <c r="E571" s="98" t="n">
        <v>113.86</v>
      </c>
      <c r="F571" s="102" t="n">
        <f aca="false">$E571*Parametros!$C$22</f>
        <v>546.528</v>
      </c>
      <c r="G571" s="90"/>
      <c r="H571" s="102" t="n">
        <f aca="false">$E571*Parametros!$C$23</f>
        <v>68.316</v>
      </c>
      <c r="I571" s="90" t="n">
        <v>0.0662</v>
      </c>
    </row>
    <row r="572" customFormat="false" ht="15" hidden="false" customHeight="false" outlineLevel="0" collapsed="false">
      <c r="A572" s="88" t="s">
        <v>212</v>
      </c>
      <c r="B572" s="97" t="n">
        <v>2</v>
      </c>
      <c r="C572" s="88" t="s">
        <v>505</v>
      </c>
      <c r="D572" s="88" t="s">
        <v>501</v>
      </c>
      <c r="E572" s="98" t="n">
        <v>113.86</v>
      </c>
      <c r="F572" s="102" t="n">
        <f aca="false">$E572*Parametros!$C$22</f>
        <v>546.528</v>
      </c>
      <c r="G572" s="90"/>
      <c r="H572" s="102" t="n">
        <f aca="false">$E572*Parametros!$C$23</f>
        <v>68.316</v>
      </c>
      <c r="I572" s="90" t="n">
        <v>0.0946</v>
      </c>
    </row>
    <row r="573" customFormat="false" ht="15" hidden="false" customHeight="false" outlineLevel="0" collapsed="false">
      <c r="A573" s="88" t="s">
        <v>212</v>
      </c>
      <c r="B573" s="97" t="n">
        <v>2</v>
      </c>
      <c r="C573" s="88" t="s">
        <v>505</v>
      </c>
      <c r="D573" s="88" t="s">
        <v>502</v>
      </c>
      <c r="E573" s="98" t="n">
        <v>113.86</v>
      </c>
      <c r="F573" s="102" t="n">
        <f aca="false">$E573*Parametros!$C$22</f>
        <v>546.528</v>
      </c>
      <c r="G573" s="90" t="n">
        <v>0.463</v>
      </c>
      <c r="H573" s="102" t="n">
        <f aca="false">$E573*Parametros!$C$23</f>
        <v>68.316</v>
      </c>
      <c r="I573" s="90" t="n">
        <v>0.0946</v>
      </c>
    </row>
    <row r="574" customFormat="false" ht="15" hidden="false" customHeight="false" outlineLevel="0" collapsed="false">
      <c r="A574" s="88" t="s">
        <v>212</v>
      </c>
      <c r="B574" s="97" t="n">
        <v>2</v>
      </c>
      <c r="C574" s="88" t="s">
        <v>505</v>
      </c>
      <c r="D574" s="88" t="s">
        <v>503</v>
      </c>
      <c r="E574" s="98" t="n">
        <v>113.86</v>
      </c>
      <c r="F574" s="102" t="n">
        <f aca="false">$E574*Parametros!$C$22</f>
        <v>546.528</v>
      </c>
      <c r="G574" s="90"/>
      <c r="H574" s="102" t="n">
        <f aca="false">$E574*Parametros!$C$23</f>
        <v>68.316</v>
      </c>
      <c r="I574" s="90" t="n">
        <v>0.072</v>
      </c>
    </row>
    <row r="575" customFormat="false" ht="15" hidden="false" customHeight="false" outlineLevel="0" collapsed="false">
      <c r="A575" s="88" t="s">
        <v>212</v>
      </c>
      <c r="B575" s="97" t="n">
        <v>2</v>
      </c>
      <c r="C575" s="88" t="s">
        <v>505</v>
      </c>
      <c r="D575" s="88" t="s">
        <v>455</v>
      </c>
      <c r="E575" s="98" t="n">
        <v>113.86</v>
      </c>
      <c r="F575" s="102" t="n">
        <f aca="false">$E575*Parametros!$C$22</f>
        <v>546.528</v>
      </c>
      <c r="G575" s="90"/>
      <c r="H575" s="102" t="n">
        <f aca="false">$E575*Parametros!$C$23</f>
        <v>68.316</v>
      </c>
      <c r="I575" s="90" t="n">
        <v>0.0946</v>
      </c>
    </row>
    <row r="576" customFormat="false" ht="15" hidden="false" customHeight="false" outlineLevel="0" collapsed="false">
      <c r="A576" s="88" t="s">
        <v>212</v>
      </c>
      <c r="B576" s="97" t="n">
        <v>2</v>
      </c>
      <c r="C576" s="88" t="s">
        <v>505</v>
      </c>
      <c r="D576" s="88" t="s">
        <v>504</v>
      </c>
      <c r="E576" s="98" t="n">
        <v>113.86</v>
      </c>
      <c r="F576" s="102" t="n">
        <f aca="false">$E576*Parametros!$C$22</f>
        <v>546.528</v>
      </c>
      <c r="G576" s="90"/>
      <c r="H576" s="102" t="n">
        <f aca="false">$E576*Parametros!$C$23</f>
        <v>68.316</v>
      </c>
      <c r="I576" s="90" t="n">
        <v>0.163</v>
      </c>
    </row>
    <row r="577" customFormat="false" ht="22.35" hidden="false" customHeight="false" outlineLevel="0" collapsed="false">
      <c r="A577" s="88" t="s">
        <v>212</v>
      </c>
      <c r="B577" s="97" t="n">
        <v>3</v>
      </c>
      <c r="C577" s="88" t="s">
        <v>215</v>
      </c>
      <c r="D577" s="88" t="s">
        <v>475</v>
      </c>
      <c r="E577" s="98" t="n">
        <v>1282.58</v>
      </c>
      <c r="F577" s="102" t="n">
        <f aca="false">$E577*Parametros!$C$22</f>
        <v>6156.384</v>
      </c>
      <c r="G577" s="90" t="n">
        <v>7.92</v>
      </c>
      <c r="H577" s="102" t="n">
        <f aca="false">$E577*Parametros!$C$23</f>
        <v>769.548</v>
      </c>
      <c r="I577" s="90" t="n">
        <v>0.207</v>
      </c>
    </row>
    <row r="578" customFormat="false" ht="22.35" hidden="false" customHeight="false" outlineLevel="0" collapsed="false">
      <c r="A578" s="88" t="s">
        <v>212</v>
      </c>
      <c r="B578" s="97" t="n">
        <v>3</v>
      </c>
      <c r="C578" s="88" t="s">
        <v>215</v>
      </c>
      <c r="D578" s="88" t="s">
        <v>492</v>
      </c>
      <c r="E578" s="98" t="n">
        <v>1282.58</v>
      </c>
      <c r="F578" s="102" t="n">
        <f aca="false">$E578*Parametros!$C$22</f>
        <v>6156.384</v>
      </c>
      <c r="G578" s="90" t="n">
        <v>0.808</v>
      </c>
      <c r="H578" s="102" t="n">
        <f aca="false">$E578*Parametros!$C$23</f>
        <v>769.548</v>
      </c>
      <c r="I578" s="90" t="n">
        <v>0.0946</v>
      </c>
    </row>
    <row r="579" customFormat="false" ht="22.35" hidden="false" customHeight="false" outlineLevel="0" collapsed="false">
      <c r="A579" s="88" t="s">
        <v>212</v>
      </c>
      <c r="B579" s="97" t="n">
        <v>3</v>
      </c>
      <c r="C579" s="88" t="s">
        <v>215</v>
      </c>
      <c r="D579" s="88" t="s">
        <v>477</v>
      </c>
      <c r="E579" s="98" t="n">
        <v>1282.58</v>
      </c>
      <c r="F579" s="102" t="n">
        <f aca="false">$E579*Parametros!$C$22</f>
        <v>6156.384</v>
      </c>
      <c r="G579" s="90"/>
      <c r="H579" s="102" t="n">
        <f aca="false">$E579*Parametros!$C$23</f>
        <v>769.548</v>
      </c>
      <c r="I579" s="90" t="n">
        <v>0.232</v>
      </c>
    </row>
    <row r="580" customFormat="false" ht="22.35" hidden="false" customHeight="false" outlineLevel="0" collapsed="false">
      <c r="A580" s="88" t="s">
        <v>212</v>
      </c>
      <c r="B580" s="97" t="n">
        <v>3</v>
      </c>
      <c r="C580" s="88" t="s">
        <v>215</v>
      </c>
      <c r="D580" s="88" t="s">
        <v>493</v>
      </c>
      <c r="E580" s="98" t="n">
        <v>1282.58</v>
      </c>
      <c r="F580" s="102" t="n">
        <f aca="false">$E580*Parametros!$C$22</f>
        <v>6156.384</v>
      </c>
      <c r="G580" s="90" t="n">
        <v>0.625</v>
      </c>
      <c r="H580" s="102" t="n">
        <f aca="false">$E580*Parametros!$C$23</f>
        <v>769.548</v>
      </c>
      <c r="I580" s="90" t="n">
        <v>0.0959</v>
      </c>
    </row>
    <row r="581" customFormat="false" ht="22.35" hidden="false" customHeight="false" outlineLevel="0" collapsed="false">
      <c r="A581" s="88" t="s">
        <v>212</v>
      </c>
      <c r="B581" s="97" t="n">
        <v>3</v>
      </c>
      <c r="C581" s="88" t="s">
        <v>215</v>
      </c>
      <c r="D581" s="88" t="s">
        <v>494</v>
      </c>
      <c r="E581" s="98" t="n">
        <v>1282.58</v>
      </c>
      <c r="F581" s="102" t="n">
        <f aca="false">$E581*Parametros!$C$22</f>
        <v>6156.384</v>
      </c>
      <c r="G581" s="90"/>
      <c r="H581" s="102" t="n">
        <f aca="false">$E581*Parametros!$C$23</f>
        <v>769.548</v>
      </c>
      <c r="I581" s="90" t="n">
        <v>0.112</v>
      </c>
    </row>
    <row r="582" customFormat="false" ht="22.35" hidden="false" customHeight="false" outlineLevel="0" collapsed="false">
      <c r="A582" s="88" t="s">
        <v>212</v>
      </c>
      <c r="B582" s="97" t="n">
        <v>3</v>
      </c>
      <c r="C582" s="88" t="s">
        <v>215</v>
      </c>
      <c r="D582" s="88" t="s">
        <v>495</v>
      </c>
      <c r="E582" s="98" t="n">
        <v>1282.58</v>
      </c>
      <c r="F582" s="102" t="n">
        <f aca="false">$E582*Parametros!$C$22</f>
        <v>6156.384</v>
      </c>
      <c r="G582" s="90" t="n">
        <v>1.19</v>
      </c>
      <c r="H582" s="102" t="n">
        <f aca="false">$E582*Parametros!$C$23</f>
        <v>769.548</v>
      </c>
      <c r="I582" s="90" t="n">
        <v>0.322</v>
      </c>
    </row>
    <row r="583" customFormat="false" ht="22.35" hidden="false" customHeight="false" outlineLevel="0" collapsed="false">
      <c r="A583" s="88" t="s">
        <v>212</v>
      </c>
      <c r="B583" s="97" t="n">
        <v>3</v>
      </c>
      <c r="C583" s="88" t="s">
        <v>215</v>
      </c>
      <c r="D583" s="88" t="s">
        <v>496</v>
      </c>
      <c r="E583" s="98" t="n">
        <v>1282.58</v>
      </c>
      <c r="F583" s="102" t="n">
        <f aca="false">$E583*Parametros!$C$22</f>
        <v>6156.384</v>
      </c>
      <c r="G583" s="90"/>
      <c r="H583" s="102" t="n">
        <f aca="false">$E583*Parametros!$C$23</f>
        <v>769.548</v>
      </c>
      <c r="I583" s="90" t="n">
        <v>0.074</v>
      </c>
    </row>
    <row r="584" customFormat="false" ht="22.35" hidden="false" customHeight="false" outlineLevel="0" collapsed="false">
      <c r="A584" s="88" t="s">
        <v>212</v>
      </c>
      <c r="B584" s="97" t="n">
        <v>3</v>
      </c>
      <c r="C584" s="88" t="s">
        <v>215</v>
      </c>
      <c r="D584" s="88" t="s">
        <v>497</v>
      </c>
      <c r="E584" s="98" t="n">
        <v>1282.58</v>
      </c>
      <c r="F584" s="102" t="n">
        <f aca="false">$E584*Parametros!$C$22</f>
        <v>6156.384</v>
      </c>
      <c r="G584" s="90"/>
      <c r="H584" s="102" t="n">
        <f aca="false">$E584*Parametros!$C$23</f>
        <v>769.548</v>
      </c>
      <c r="I584" s="90" t="n">
        <v>0.0935</v>
      </c>
    </row>
    <row r="585" customFormat="false" ht="22.35" hidden="false" customHeight="false" outlineLevel="0" collapsed="false">
      <c r="A585" s="88" t="s">
        <v>212</v>
      </c>
      <c r="B585" s="97" t="n">
        <v>3</v>
      </c>
      <c r="C585" s="88" t="s">
        <v>215</v>
      </c>
      <c r="D585" s="88" t="s">
        <v>498</v>
      </c>
      <c r="E585" s="98" t="n">
        <v>1282.58</v>
      </c>
      <c r="F585" s="102" t="n">
        <f aca="false">$E585*Parametros!$C$22</f>
        <v>6156.384</v>
      </c>
      <c r="G585" s="90" t="n">
        <v>1.26</v>
      </c>
      <c r="H585" s="102" t="n">
        <f aca="false">$E585*Parametros!$C$23</f>
        <v>769.548</v>
      </c>
      <c r="I585" s="90" t="n">
        <v>0.0959</v>
      </c>
    </row>
    <row r="586" customFormat="false" ht="22.35" hidden="false" customHeight="false" outlineLevel="0" collapsed="false">
      <c r="A586" s="88" t="s">
        <v>212</v>
      </c>
      <c r="B586" s="97" t="n">
        <v>3</v>
      </c>
      <c r="C586" s="88" t="s">
        <v>215</v>
      </c>
      <c r="D586" s="88" t="s">
        <v>499</v>
      </c>
      <c r="E586" s="98" t="n">
        <v>1282.58</v>
      </c>
      <c r="F586" s="102" t="n">
        <f aca="false">$E586*Parametros!$C$22</f>
        <v>6156.384</v>
      </c>
      <c r="G586" s="90"/>
      <c r="H586" s="102" t="n">
        <f aca="false">$E586*Parametros!$C$23</f>
        <v>769.548</v>
      </c>
      <c r="I586" s="90" t="n">
        <v>0.0959</v>
      </c>
    </row>
    <row r="587" customFormat="false" ht="22.35" hidden="false" customHeight="false" outlineLevel="0" collapsed="false">
      <c r="A587" s="88" t="s">
        <v>212</v>
      </c>
      <c r="B587" s="97" t="n">
        <v>3</v>
      </c>
      <c r="C587" s="88" t="s">
        <v>215</v>
      </c>
      <c r="D587" s="88" t="s">
        <v>485</v>
      </c>
      <c r="E587" s="98" t="n">
        <v>1282.58</v>
      </c>
      <c r="F587" s="102" t="n">
        <f aca="false">$E587*Parametros!$C$22</f>
        <v>6156.384</v>
      </c>
      <c r="G587" s="90"/>
      <c r="H587" s="102" t="n">
        <f aca="false">$E587*Parametros!$C$23</f>
        <v>769.548</v>
      </c>
      <c r="I587" s="90" t="n">
        <v>0.15</v>
      </c>
    </row>
    <row r="588" customFormat="false" ht="22.35" hidden="false" customHeight="false" outlineLevel="0" collapsed="false">
      <c r="A588" s="88" t="s">
        <v>212</v>
      </c>
      <c r="B588" s="97" t="n">
        <v>3</v>
      </c>
      <c r="C588" s="88" t="s">
        <v>215</v>
      </c>
      <c r="D588" s="88" t="s">
        <v>486</v>
      </c>
      <c r="E588" s="98" t="n">
        <v>1282.58</v>
      </c>
      <c r="F588" s="102" t="n">
        <f aca="false">$E588*Parametros!$C$22</f>
        <v>6156.384</v>
      </c>
      <c r="G588" s="90" t="n">
        <v>2.33</v>
      </c>
      <c r="H588" s="102" t="n">
        <f aca="false">$E588*Parametros!$C$23</f>
        <v>769.548</v>
      </c>
      <c r="I588" s="90" t="n">
        <v>0.0509</v>
      </c>
    </row>
    <row r="589" customFormat="false" ht="22.35" hidden="false" customHeight="false" outlineLevel="0" collapsed="false">
      <c r="A589" s="88" t="s">
        <v>212</v>
      </c>
      <c r="B589" s="97" t="n">
        <v>3</v>
      </c>
      <c r="C589" s="88" t="s">
        <v>215</v>
      </c>
      <c r="D589" s="88" t="s">
        <v>500</v>
      </c>
      <c r="E589" s="98" t="n">
        <v>1282.58</v>
      </c>
      <c r="F589" s="102" t="n">
        <f aca="false">$E589*Parametros!$C$22</f>
        <v>6156.384</v>
      </c>
      <c r="G589" s="90"/>
      <c r="H589" s="102" t="n">
        <f aca="false">$E589*Parametros!$C$23</f>
        <v>769.548</v>
      </c>
      <c r="I589" s="90" t="n">
        <v>0.07</v>
      </c>
    </row>
    <row r="590" customFormat="false" ht="22.35" hidden="false" customHeight="false" outlineLevel="0" collapsed="false">
      <c r="A590" s="88" t="s">
        <v>212</v>
      </c>
      <c r="B590" s="97" t="n">
        <v>3</v>
      </c>
      <c r="C590" s="88" t="s">
        <v>215</v>
      </c>
      <c r="D590" s="88" t="s">
        <v>501</v>
      </c>
      <c r="E590" s="98" t="n">
        <v>1282.58</v>
      </c>
      <c r="F590" s="102" t="n">
        <f aca="false">$E590*Parametros!$C$22</f>
        <v>6156.384</v>
      </c>
      <c r="G590" s="90"/>
      <c r="H590" s="102" t="n">
        <f aca="false">$E590*Parametros!$C$23</f>
        <v>769.548</v>
      </c>
      <c r="I590" s="90" t="n">
        <v>0.0946</v>
      </c>
    </row>
    <row r="591" customFormat="false" ht="22.35" hidden="false" customHeight="false" outlineLevel="0" collapsed="false">
      <c r="A591" s="88" t="s">
        <v>212</v>
      </c>
      <c r="B591" s="97" t="n">
        <v>3</v>
      </c>
      <c r="C591" s="88" t="s">
        <v>215</v>
      </c>
      <c r="D591" s="88" t="s">
        <v>502</v>
      </c>
      <c r="E591" s="98" t="n">
        <v>1282.58</v>
      </c>
      <c r="F591" s="102" t="n">
        <f aca="false">$E591*Parametros!$C$22</f>
        <v>6156.384</v>
      </c>
      <c r="G591" s="90" t="n">
        <v>0.916</v>
      </c>
      <c r="H591" s="102" t="n">
        <f aca="false">$E591*Parametros!$C$23</f>
        <v>769.548</v>
      </c>
      <c r="I591" s="90" t="n">
        <v>0.0946</v>
      </c>
    </row>
    <row r="592" customFormat="false" ht="22.35" hidden="false" customHeight="false" outlineLevel="0" collapsed="false">
      <c r="A592" s="88" t="s">
        <v>212</v>
      </c>
      <c r="B592" s="97" t="n">
        <v>3</v>
      </c>
      <c r="C592" s="88" t="s">
        <v>215</v>
      </c>
      <c r="D592" s="88" t="s">
        <v>503</v>
      </c>
      <c r="E592" s="98" t="n">
        <v>1282.58</v>
      </c>
      <c r="F592" s="102" t="n">
        <f aca="false">$E592*Parametros!$C$22</f>
        <v>6156.384</v>
      </c>
      <c r="G592" s="90"/>
      <c r="H592" s="102" t="n">
        <f aca="false">$E592*Parametros!$C$23</f>
        <v>769.548</v>
      </c>
      <c r="I592" s="90" t="n">
        <v>0.136</v>
      </c>
    </row>
    <row r="593" customFormat="false" ht="22.35" hidden="false" customHeight="false" outlineLevel="0" collapsed="false">
      <c r="A593" s="88" t="s">
        <v>212</v>
      </c>
      <c r="B593" s="97" t="n">
        <v>3</v>
      </c>
      <c r="C593" s="88" t="s">
        <v>215</v>
      </c>
      <c r="D593" s="88" t="s">
        <v>455</v>
      </c>
      <c r="E593" s="98" t="n">
        <v>1282.58</v>
      </c>
      <c r="F593" s="102" t="n">
        <f aca="false">$E593*Parametros!$C$22</f>
        <v>6156.384</v>
      </c>
      <c r="G593" s="90"/>
      <c r="H593" s="102" t="n">
        <f aca="false">$E593*Parametros!$C$23</f>
        <v>769.548</v>
      </c>
      <c r="I593" s="90" t="n">
        <v>0.0946</v>
      </c>
    </row>
    <row r="594" customFormat="false" ht="22.35" hidden="false" customHeight="false" outlineLevel="0" collapsed="false">
      <c r="A594" s="88" t="s">
        <v>212</v>
      </c>
      <c r="B594" s="97" t="n">
        <v>3</v>
      </c>
      <c r="C594" s="88" t="s">
        <v>215</v>
      </c>
      <c r="D594" s="88" t="s">
        <v>504</v>
      </c>
      <c r="E594" s="98" t="n">
        <v>1282.58</v>
      </c>
      <c r="F594" s="102" t="n">
        <f aca="false">$E594*Parametros!$C$22</f>
        <v>6156.384</v>
      </c>
      <c r="G594" s="90"/>
      <c r="H594" s="102" t="n">
        <f aca="false">$E594*Parametros!$C$23</f>
        <v>769.548</v>
      </c>
      <c r="I594" s="90" t="n">
        <v>0.193</v>
      </c>
    </row>
    <row r="595" customFormat="false" ht="15" hidden="false" customHeight="false" outlineLevel="0" collapsed="false">
      <c r="A595" s="88" t="s">
        <v>219</v>
      </c>
      <c r="B595" s="97" t="n">
        <v>1</v>
      </c>
      <c r="C595" s="88" t="s">
        <v>506</v>
      </c>
      <c r="D595" s="88" t="s">
        <v>446</v>
      </c>
      <c r="E595" s="98" t="n">
        <v>54.21</v>
      </c>
      <c r="F595" s="102" t="n">
        <f aca="false">$E595*Parametros!$C$22</f>
        <v>260.208</v>
      </c>
      <c r="G595" s="90" t="n">
        <v>2.65</v>
      </c>
      <c r="H595" s="102" t="n">
        <f aca="false">$E595*Parametros!$C$23</f>
        <v>32.526</v>
      </c>
      <c r="I595" s="90" t="n">
        <v>0.0509</v>
      </c>
    </row>
    <row r="596" customFormat="false" ht="15" hidden="false" customHeight="false" outlineLevel="0" collapsed="false">
      <c r="A596" s="88" t="s">
        <v>219</v>
      </c>
      <c r="B596" s="97" t="n">
        <v>1</v>
      </c>
      <c r="C596" s="88" t="s">
        <v>506</v>
      </c>
      <c r="D596" s="88" t="s">
        <v>507</v>
      </c>
      <c r="E596" s="98" t="n">
        <v>54.21</v>
      </c>
      <c r="F596" s="102" t="n">
        <f aca="false">$E596*Parametros!$C$22</f>
        <v>260.208</v>
      </c>
      <c r="G596" s="90"/>
      <c r="H596" s="102" t="n">
        <f aca="false">$E596*Parametros!$C$23</f>
        <v>32.526</v>
      </c>
      <c r="I596" s="90" t="n">
        <v>0.0907</v>
      </c>
    </row>
    <row r="597" customFormat="false" ht="15" hidden="false" customHeight="false" outlineLevel="0" collapsed="false">
      <c r="A597" s="88" t="s">
        <v>219</v>
      </c>
      <c r="B597" s="97" t="n">
        <v>1</v>
      </c>
      <c r="C597" s="88" t="s">
        <v>506</v>
      </c>
      <c r="D597" s="88" t="s">
        <v>508</v>
      </c>
      <c r="E597" s="98" t="n">
        <v>54.21</v>
      </c>
      <c r="F597" s="102" t="n">
        <f aca="false">$E597*Parametros!$C$22</f>
        <v>260.208</v>
      </c>
      <c r="G597" s="90" t="n">
        <v>0.528</v>
      </c>
      <c r="H597" s="102" t="n">
        <f aca="false">$E597*Parametros!$C$23</f>
        <v>32.526</v>
      </c>
      <c r="I597" s="90" t="n">
        <v>0.0946</v>
      </c>
    </row>
    <row r="598" customFormat="false" ht="15" hidden="false" customHeight="false" outlineLevel="0" collapsed="false">
      <c r="A598" s="88" t="s">
        <v>219</v>
      </c>
      <c r="B598" s="97" t="n">
        <v>1</v>
      </c>
      <c r="C598" s="88" t="s">
        <v>506</v>
      </c>
      <c r="D598" s="88" t="s">
        <v>448</v>
      </c>
      <c r="E598" s="98" t="n">
        <v>54.21</v>
      </c>
      <c r="F598" s="102" t="n">
        <f aca="false">$E598*Parametros!$C$22</f>
        <v>260.208</v>
      </c>
      <c r="G598" s="90"/>
      <c r="H598" s="102" t="n">
        <f aca="false">$E598*Parametros!$C$23</f>
        <v>32.526</v>
      </c>
      <c r="I598" s="90" t="n">
        <v>0.07</v>
      </c>
    </row>
    <row r="599" customFormat="false" ht="15" hidden="false" customHeight="false" outlineLevel="0" collapsed="false">
      <c r="A599" s="88" t="s">
        <v>219</v>
      </c>
      <c r="B599" s="97" t="n">
        <v>1</v>
      </c>
      <c r="C599" s="88" t="s">
        <v>506</v>
      </c>
      <c r="D599" s="88" t="s">
        <v>509</v>
      </c>
      <c r="E599" s="98" t="n">
        <v>54.21</v>
      </c>
      <c r="F599" s="102" t="n">
        <f aca="false">$E599*Parametros!$C$22</f>
        <v>260.208</v>
      </c>
      <c r="G599" s="90" t="n">
        <v>0.419</v>
      </c>
      <c r="H599" s="102" t="n">
        <f aca="false">$E599*Parametros!$C$23</f>
        <v>32.526</v>
      </c>
      <c r="I599" s="90" t="n">
        <v>0.0946</v>
      </c>
    </row>
    <row r="600" customFormat="false" ht="15" hidden="false" customHeight="false" outlineLevel="0" collapsed="false">
      <c r="A600" s="88" t="s">
        <v>219</v>
      </c>
      <c r="B600" s="97" t="n">
        <v>1</v>
      </c>
      <c r="C600" s="88" t="s">
        <v>506</v>
      </c>
      <c r="D600" s="88" t="s">
        <v>431</v>
      </c>
      <c r="E600" s="98" t="n">
        <v>54.21</v>
      </c>
      <c r="F600" s="102" t="n">
        <f aca="false">$E600*Parametros!$C$22</f>
        <v>260.208</v>
      </c>
      <c r="G600" s="90" t="n">
        <v>0.463</v>
      </c>
      <c r="H600" s="102" t="n">
        <f aca="false">$E600*Parametros!$C$23</f>
        <v>32.526</v>
      </c>
      <c r="I600" s="90" t="n">
        <v>0.0946</v>
      </c>
    </row>
    <row r="601" customFormat="false" ht="15" hidden="false" customHeight="false" outlineLevel="0" collapsed="false">
      <c r="A601" s="88" t="s">
        <v>219</v>
      </c>
      <c r="B601" s="97" t="n">
        <v>1</v>
      </c>
      <c r="C601" s="88" t="s">
        <v>506</v>
      </c>
      <c r="D601" s="88" t="s">
        <v>510</v>
      </c>
      <c r="E601" s="98" t="n">
        <v>54.21</v>
      </c>
      <c r="F601" s="102" t="n">
        <f aca="false">$E601*Parametros!$C$22</f>
        <v>260.208</v>
      </c>
      <c r="G601" s="90"/>
      <c r="H601" s="102" t="n">
        <f aca="false">$E601*Parametros!$C$23</f>
        <v>32.526</v>
      </c>
      <c r="I601" s="90" t="n">
        <v>0.0662</v>
      </c>
    </row>
    <row r="602" customFormat="false" ht="15" hidden="false" customHeight="false" outlineLevel="0" collapsed="false">
      <c r="A602" s="88" t="s">
        <v>219</v>
      </c>
      <c r="B602" s="97" t="n">
        <v>1</v>
      </c>
      <c r="C602" s="88" t="s">
        <v>506</v>
      </c>
      <c r="D602" s="88" t="s">
        <v>511</v>
      </c>
      <c r="E602" s="98" t="n">
        <v>54.21</v>
      </c>
      <c r="F602" s="102" t="n">
        <f aca="false">$E602*Parametros!$C$22</f>
        <v>260.208</v>
      </c>
      <c r="G602" s="90"/>
      <c r="H602" s="102" t="n">
        <f aca="false">$E602*Parametros!$C$23</f>
        <v>32.526</v>
      </c>
      <c r="I602" s="90" t="n">
        <v>0.0935</v>
      </c>
    </row>
    <row r="603" customFormat="false" ht="15" hidden="false" customHeight="false" outlineLevel="0" collapsed="false">
      <c r="A603" s="88" t="s">
        <v>219</v>
      </c>
      <c r="B603" s="97" t="n">
        <v>1</v>
      </c>
      <c r="C603" s="88" t="s">
        <v>506</v>
      </c>
      <c r="D603" s="88" t="s">
        <v>512</v>
      </c>
      <c r="E603" s="98" t="n">
        <v>54.21</v>
      </c>
      <c r="F603" s="102" t="n">
        <f aca="false">$E603*Parametros!$C$22</f>
        <v>260.208</v>
      </c>
      <c r="G603" s="90"/>
      <c r="H603" s="102" t="n">
        <f aca="false">$E603*Parametros!$C$23</f>
        <v>32.526</v>
      </c>
      <c r="I603" s="90" t="n">
        <v>0.0959</v>
      </c>
    </row>
    <row r="604" customFormat="false" ht="15" hidden="false" customHeight="false" outlineLevel="0" collapsed="false">
      <c r="A604" s="88" t="s">
        <v>219</v>
      </c>
      <c r="B604" s="97" t="n">
        <v>1</v>
      </c>
      <c r="C604" s="88" t="s">
        <v>506</v>
      </c>
      <c r="D604" s="88" t="s">
        <v>513</v>
      </c>
      <c r="E604" s="98" t="n">
        <v>54.21</v>
      </c>
      <c r="F604" s="102" t="n">
        <f aca="false">$E604*Parametros!$C$22</f>
        <v>260.208</v>
      </c>
      <c r="G604" s="90" t="n">
        <v>2.02</v>
      </c>
      <c r="H604" s="102" t="n">
        <f aca="false">$E604*Parametros!$C$23</f>
        <v>32.526</v>
      </c>
      <c r="I604" s="90" t="n">
        <v>0.205</v>
      </c>
    </row>
    <row r="605" customFormat="false" ht="15" hidden="false" customHeight="false" outlineLevel="0" collapsed="false">
      <c r="A605" s="88" t="s">
        <v>219</v>
      </c>
      <c r="B605" s="97" t="n">
        <v>1</v>
      </c>
      <c r="C605" s="88" t="s">
        <v>506</v>
      </c>
      <c r="D605" s="88" t="s">
        <v>514</v>
      </c>
      <c r="E605" s="98" t="n">
        <v>54.21</v>
      </c>
      <c r="F605" s="102" t="n">
        <f aca="false">$E605*Parametros!$C$22</f>
        <v>260.208</v>
      </c>
      <c r="G605" s="90"/>
      <c r="H605" s="102" t="n">
        <f aca="false">$E605*Parametros!$C$23</f>
        <v>32.526</v>
      </c>
      <c r="I605" s="90" t="n">
        <v>0.0662</v>
      </c>
    </row>
    <row r="606" customFormat="false" ht="15" hidden="false" customHeight="false" outlineLevel="0" collapsed="false">
      <c r="A606" s="88" t="s">
        <v>219</v>
      </c>
      <c r="B606" s="97" t="n">
        <v>1</v>
      </c>
      <c r="C606" s="88" t="s">
        <v>506</v>
      </c>
      <c r="D606" s="88" t="s">
        <v>515</v>
      </c>
      <c r="E606" s="98" t="n">
        <v>54.21</v>
      </c>
      <c r="F606" s="102" t="n">
        <f aca="false">$E606*Parametros!$C$22</f>
        <v>260.208</v>
      </c>
      <c r="G606" s="90"/>
      <c r="H606" s="102" t="n">
        <f aca="false">$E606*Parametros!$C$23</f>
        <v>32.526</v>
      </c>
      <c r="I606" s="90" t="n">
        <v>0.0935</v>
      </c>
    </row>
    <row r="607" customFormat="false" ht="15" hidden="false" customHeight="false" outlineLevel="0" collapsed="false">
      <c r="A607" s="88" t="s">
        <v>219</v>
      </c>
      <c r="B607" s="97" t="n">
        <v>1</v>
      </c>
      <c r="C607" s="88" t="s">
        <v>506</v>
      </c>
      <c r="D607" s="88" t="s">
        <v>515</v>
      </c>
      <c r="E607" s="98" t="n">
        <v>54.21</v>
      </c>
      <c r="F607" s="102" t="n">
        <f aca="false">$E607*Parametros!$C$22</f>
        <v>260.208</v>
      </c>
      <c r="G607" s="90"/>
      <c r="H607" s="102" t="n">
        <f aca="false">$E607*Parametros!$C$23</f>
        <v>32.526</v>
      </c>
      <c r="I607" s="90" t="n">
        <v>1.5</v>
      </c>
    </row>
    <row r="608" customFormat="false" ht="15" hidden="false" customHeight="false" outlineLevel="0" collapsed="false">
      <c r="A608" s="88" t="s">
        <v>219</v>
      </c>
      <c r="B608" s="97" t="n">
        <v>1</v>
      </c>
      <c r="C608" s="88" t="s">
        <v>506</v>
      </c>
      <c r="D608" s="88" t="s">
        <v>516</v>
      </c>
      <c r="E608" s="98" t="n">
        <v>54.21</v>
      </c>
      <c r="F608" s="102" t="n">
        <f aca="false">$E608*Parametros!$C$22</f>
        <v>260.208</v>
      </c>
      <c r="G608" s="90"/>
      <c r="H608" s="102" t="n">
        <f aca="false">$E608*Parametros!$C$23</f>
        <v>32.526</v>
      </c>
      <c r="I608" s="90" t="n">
        <v>0.272</v>
      </c>
    </row>
    <row r="609" customFormat="false" ht="15" hidden="false" customHeight="false" outlineLevel="0" collapsed="false">
      <c r="A609" s="88" t="s">
        <v>219</v>
      </c>
      <c r="B609" s="97" t="n">
        <v>1</v>
      </c>
      <c r="C609" s="88" t="s">
        <v>506</v>
      </c>
      <c r="D609" s="88" t="s">
        <v>517</v>
      </c>
      <c r="E609" s="98" t="n">
        <v>54.21</v>
      </c>
      <c r="F609" s="102" t="n">
        <f aca="false">$E609*Parametros!$C$22</f>
        <v>260.208</v>
      </c>
      <c r="G609" s="90"/>
      <c r="H609" s="102" t="n">
        <f aca="false">$E609*Parametros!$C$23</f>
        <v>32.526</v>
      </c>
      <c r="I609" s="90" t="n">
        <v>0.0662</v>
      </c>
    </row>
    <row r="610" customFormat="false" ht="15" hidden="false" customHeight="false" outlineLevel="0" collapsed="false">
      <c r="A610" s="88" t="s">
        <v>219</v>
      </c>
      <c r="B610" s="97" t="n">
        <v>1</v>
      </c>
      <c r="C610" s="88" t="s">
        <v>506</v>
      </c>
      <c r="D610" s="88" t="s">
        <v>518</v>
      </c>
      <c r="E610" s="98" t="n">
        <v>54.21</v>
      </c>
      <c r="F610" s="102" t="n">
        <f aca="false">$E610*Parametros!$C$22</f>
        <v>260.208</v>
      </c>
      <c r="G610" s="90"/>
      <c r="H610" s="102" t="n">
        <f aca="false">$E610*Parametros!$C$23</f>
        <v>32.526</v>
      </c>
      <c r="I610" s="90" t="n">
        <v>0.421</v>
      </c>
    </row>
    <row r="611" customFormat="false" ht="15" hidden="false" customHeight="false" outlineLevel="0" collapsed="false">
      <c r="A611" s="88" t="s">
        <v>219</v>
      </c>
      <c r="B611" s="97" t="n">
        <v>1</v>
      </c>
      <c r="C611" s="88" t="s">
        <v>506</v>
      </c>
      <c r="D611" s="88" t="s">
        <v>519</v>
      </c>
      <c r="E611" s="98" t="n">
        <v>54.21</v>
      </c>
      <c r="F611" s="102" t="n">
        <f aca="false">$E611*Parametros!$C$22</f>
        <v>260.208</v>
      </c>
      <c r="G611" s="90" t="n">
        <v>1.56</v>
      </c>
      <c r="H611" s="102" t="n">
        <f aca="false">$E611*Parametros!$C$23</f>
        <v>32.526</v>
      </c>
      <c r="I611" s="90" t="n">
        <v>0.0959</v>
      </c>
    </row>
    <row r="612" customFormat="false" ht="15" hidden="false" customHeight="false" outlineLevel="0" collapsed="false">
      <c r="A612" s="88" t="s">
        <v>219</v>
      </c>
      <c r="B612" s="97" t="n">
        <v>1</v>
      </c>
      <c r="C612" s="88" t="s">
        <v>506</v>
      </c>
      <c r="D612" s="88" t="s">
        <v>520</v>
      </c>
      <c r="E612" s="98" t="n">
        <v>54.21</v>
      </c>
      <c r="F612" s="102" t="n">
        <f aca="false">$E612*Parametros!$C$22</f>
        <v>260.208</v>
      </c>
      <c r="G612" s="90"/>
      <c r="H612" s="102" t="n">
        <f aca="false">$E612*Parametros!$C$23</f>
        <v>32.526</v>
      </c>
      <c r="I612" s="90" t="n">
        <v>0.0959</v>
      </c>
    </row>
    <row r="613" customFormat="false" ht="15" hidden="false" customHeight="false" outlineLevel="0" collapsed="false">
      <c r="A613" s="88" t="s">
        <v>219</v>
      </c>
      <c r="B613" s="97" t="n">
        <v>1</v>
      </c>
      <c r="C613" s="88" t="s">
        <v>506</v>
      </c>
      <c r="D613" s="88" t="s">
        <v>521</v>
      </c>
      <c r="E613" s="98" t="n">
        <v>54.21</v>
      </c>
      <c r="F613" s="102" t="n">
        <f aca="false">$E613*Parametros!$C$22</f>
        <v>260.208</v>
      </c>
      <c r="G613" s="90"/>
      <c r="H613" s="102" t="n">
        <f aca="false">$E613*Parametros!$C$23</f>
        <v>32.526</v>
      </c>
      <c r="I613" s="90" t="n">
        <v>0.0946</v>
      </c>
    </row>
    <row r="614" customFormat="false" ht="15" hidden="false" customHeight="false" outlineLevel="0" collapsed="false">
      <c r="A614" s="88" t="s">
        <v>219</v>
      </c>
      <c r="B614" s="97" t="n">
        <v>2</v>
      </c>
      <c r="C614" s="88" t="s">
        <v>222</v>
      </c>
      <c r="D614" s="88" t="s">
        <v>446</v>
      </c>
      <c r="E614" s="98" t="n">
        <v>57.61</v>
      </c>
      <c r="F614" s="102" t="n">
        <f aca="false">$E614*Parametros!$C$22</f>
        <v>276.528</v>
      </c>
      <c r="G614" s="90" t="n">
        <v>2.06</v>
      </c>
      <c r="H614" s="102" t="n">
        <f aca="false">$E614*Parametros!$C$23</f>
        <v>34.566</v>
      </c>
      <c r="I614" s="90" t="n">
        <v>0.0509</v>
      </c>
    </row>
    <row r="615" customFormat="false" ht="15" hidden="false" customHeight="false" outlineLevel="0" collapsed="false">
      <c r="A615" s="88" t="s">
        <v>219</v>
      </c>
      <c r="B615" s="97" t="n">
        <v>2</v>
      </c>
      <c r="C615" s="88" t="s">
        <v>222</v>
      </c>
      <c r="D615" s="88" t="s">
        <v>507</v>
      </c>
      <c r="E615" s="98" t="n">
        <v>57.61</v>
      </c>
      <c r="F615" s="102" t="n">
        <f aca="false">$E615*Parametros!$C$22</f>
        <v>276.528</v>
      </c>
      <c r="G615" s="90"/>
      <c r="H615" s="102" t="n">
        <f aca="false">$E615*Parametros!$C$23</f>
        <v>34.566</v>
      </c>
      <c r="I615" s="90" t="n">
        <v>0.111</v>
      </c>
    </row>
    <row r="616" customFormat="false" ht="15" hidden="false" customHeight="false" outlineLevel="0" collapsed="false">
      <c r="A616" s="88" t="s">
        <v>219</v>
      </c>
      <c r="B616" s="97" t="n">
        <v>2</v>
      </c>
      <c r="C616" s="88" t="s">
        <v>222</v>
      </c>
      <c r="D616" s="88" t="s">
        <v>508</v>
      </c>
      <c r="E616" s="98" t="n">
        <v>57.61</v>
      </c>
      <c r="F616" s="102" t="n">
        <f aca="false">$E616*Parametros!$C$22</f>
        <v>276.528</v>
      </c>
      <c r="G616" s="90" t="n">
        <v>0.937</v>
      </c>
      <c r="H616" s="102" t="n">
        <f aca="false">$E616*Parametros!$C$23</f>
        <v>34.566</v>
      </c>
      <c r="I616" s="90" t="n">
        <v>0.0946</v>
      </c>
    </row>
    <row r="617" customFormat="false" ht="15" hidden="false" customHeight="false" outlineLevel="0" collapsed="false">
      <c r="A617" s="88" t="s">
        <v>219</v>
      </c>
      <c r="B617" s="97" t="n">
        <v>2</v>
      </c>
      <c r="C617" s="88" t="s">
        <v>222</v>
      </c>
      <c r="D617" s="88" t="s">
        <v>448</v>
      </c>
      <c r="E617" s="98" t="n">
        <v>57.61</v>
      </c>
      <c r="F617" s="102" t="n">
        <f aca="false">$E617*Parametros!$C$22</f>
        <v>276.528</v>
      </c>
      <c r="G617" s="90"/>
      <c r="H617" s="102" t="n">
        <f aca="false">$E617*Parametros!$C$23</f>
        <v>34.566</v>
      </c>
      <c r="I617" s="90" t="n">
        <v>0.0662</v>
      </c>
    </row>
    <row r="618" customFormat="false" ht="15" hidden="false" customHeight="false" outlineLevel="0" collapsed="false">
      <c r="A618" s="88" t="s">
        <v>219</v>
      </c>
      <c r="B618" s="97" t="n">
        <v>2</v>
      </c>
      <c r="C618" s="88" t="s">
        <v>222</v>
      </c>
      <c r="D618" s="88" t="s">
        <v>509</v>
      </c>
      <c r="E618" s="98" t="n">
        <v>57.61</v>
      </c>
      <c r="F618" s="102" t="n">
        <f aca="false">$E618*Parametros!$C$22</f>
        <v>276.528</v>
      </c>
      <c r="G618" s="90" t="n">
        <v>1.35</v>
      </c>
      <c r="H618" s="102" t="n">
        <f aca="false">$E618*Parametros!$C$23</f>
        <v>34.566</v>
      </c>
      <c r="I618" s="90" t="n">
        <v>0.0946</v>
      </c>
    </row>
    <row r="619" customFormat="false" ht="15" hidden="false" customHeight="false" outlineLevel="0" collapsed="false">
      <c r="A619" s="88" t="s">
        <v>219</v>
      </c>
      <c r="B619" s="97" t="n">
        <v>2</v>
      </c>
      <c r="C619" s="88" t="s">
        <v>222</v>
      </c>
      <c r="D619" s="88" t="s">
        <v>431</v>
      </c>
      <c r="E619" s="98" t="n">
        <v>57.61</v>
      </c>
      <c r="F619" s="102" t="n">
        <f aca="false">$E619*Parametros!$C$22</f>
        <v>276.528</v>
      </c>
      <c r="G619" s="90" t="n">
        <v>1.02</v>
      </c>
      <c r="H619" s="102" t="n">
        <f aca="false">$E619*Parametros!$C$23</f>
        <v>34.566</v>
      </c>
      <c r="I619" s="90" t="n">
        <v>0.0946</v>
      </c>
    </row>
    <row r="620" customFormat="false" ht="15" hidden="false" customHeight="false" outlineLevel="0" collapsed="false">
      <c r="A620" s="88" t="s">
        <v>219</v>
      </c>
      <c r="B620" s="97" t="n">
        <v>2</v>
      </c>
      <c r="C620" s="88" t="s">
        <v>222</v>
      </c>
      <c r="D620" s="88" t="s">
        <v>510</v>
      </c>
      <c r="E620" s="98" t="n">
        <v>57.61</v>
      </c>
      <c r="F620" s="102" t="n">
        <f aca="false">$E620*Parametros!$C$22</f>
        <v>276.528</v>
      </c>
      <c r="G620" s="90"/>
      <c r="H620" s="102" t="n">
        <f aca="false">$E620*Parametros!$C$23</f>
        <v>34.566</v>
      </c>
      <c r="I620" s="90" t="n">
        <v>0.0662</v>
      </c>
    </row>
    <row r="621" customFormat="false" ht="15" hidden="false" customHeight="false" outlineLevel="0" collapsed="false">
      <c r="A621" s="88" t="s">
        <v>219</v>
      </c>
      <c r="B621" s="97" t="n">
        <v>2</v>
      </c>
      <c r="C621" s="88" t="s">
        <v>222</v>
      </c>
      <c r="D621" s="88" t="s">
        <v>511</v>
      </c>
      <c r="E621" s="98" t="n">
        <v>57.61</v>
      </c>
      <c r="F621" s="102" t="n">
        <f aca="false">$E621*Parametros!$C$22</f>
        <v>276.528</v>
      </c>
      <c r="G621" s="90"/>
      <c r="H621" s="102" t="n">
        <f aca="false">$E621*Parametros!$C$23</f>
        <v>34.566</v>
      </c>
      <c r="I621" s="90" t="n">
        <v>0.0935</v>
      </c>
    </row>
    <row r="622" customFormat="false" ht="15" hidden="false" customHeight="false" outlineLevel="0" collapsed="false">
      <c r="A622" s="88" t="s">
        <v>219</v>
      </c>
      <c r="B622" s="97" t="n">
        <v>2</v>
      </c>
      <c r="C622" s="88" t="s">
        <v>222</v>
      </c>
      <c r="D622" s="88" t="s">
        <v>512</v>
      </c>
      <c r="E622" s="98" t="n">
        <v>57.61</v>
      </c>
      <c r="F622" s="102" t="n">
        <f aca="false">$E622*Parametros!$C$22</f>
        <v>276.528</v>
      </c>
      <c r="G622" s="90"/>
      <c r="H622" s="102" t="n">
        <f aca="false">$E622*Parametros!$C$23</f>
        <v>34.566</v>
      </c>
      <c r="I622" s="90" t="n">
        <v>0.0959</v>
      </c>
    </row>
    <row r="623" customFormat="false" ht="15" hidden="false" customHeight="false" outlineLevel="0" collapsed="false">
      <c r="A623" s="88" t="s">
        <v>219</v>
      </c>
      <c r="B623" s="97" t="n">
        <v>2</v>
      </c>
      <c r="C623" s="88" t="s">
        <v>222</v>
      </c>
      <c r="D623" s="88" t="s">
        <v>513</v>
      </c>
      <c r="E623" s="98" t="n">
        <v>57.61</v>
      </c>
      <c r="F623" s="102" t="n">
        <f aca="false">$E623*Parametros!$C$22</f>
        <v>276.528</v>
      </c>
      <c r="G623" s="90" t="n">
        <v>2.34</v>
      </c>
      <c r="H623" s="102" t="n">
        <f aca="false">$E623*Parametros!$C$23</f>
        <v>34.566</v>
      </c>
      <c r="I623" s="90" t="n">
        <v>0.118</v>
      </c>
    </row>
    <row r="624" customFormat="false" ht="15" hidden="false" customHeight="false" outlineLevel="0" collapsed="false">
      <c r="A624" s="88" t="s">
        <v>219</v>
      </c>
      <c r="B624" s="97" t="n">
        <v>2</v>
      </c>
      <c r="C624" s="88" t="s">
        <v>222</v>
      </c>
      <c r="D624" s="88" t="s">
        <v>514</v>
      </c>
      <c r="E624" s="98" t="n">
        <v>57.61</v>
      </c>
      <c r="F624" s="102" t="n">
        <f aca="false">$E624*Parametros!$C$22</f>
        <v>276.528</v>
      </c>
      <c r="G624" s="90"/>
      <c r="H624" s="102" t="n">
        <f aca="false">$E624*Parametros!$C$23</f>
        <v>34.566</v>
      </c>
      <c r="I624" s="90" t="n">
        <v>0.0662</v>
      </c>
    </row>
    <row r="625" customFormat="false" ht="15" hidden="false" customHeight="false" outlineLevel="0" collapsed="false">
      <c r="A625" s="88" t="s">
        <v>219</v>
      </c>
      <c r="B625" s="97" t="n">
        <v>2</v>
      </c>
      <c r="C625" s="88" t="s">
        <v>222</v>
      </c>
      <c r="D625" s="88" t="s">
        <v>515</v>
      </c>
      <c r="E625" s="98" t="n">
        <v>57.61</v>
      </c>
      <c r="F625" s="102" t="n">
        <f aca="false">$E625*Parametros!$C$22</f>
        <v>276.528</v>
      </c>
      <c r="G625" s="90"/>
      <c r="H625" s="102" t="n">
        <f aca="false">$E625*Parametros!$C$23</f>
        <v>34.566</v>
      </c>
      <c r="I625" s="90" t="n">
        <v>0.0935</v>
      </c>
    </row>
    <row r="626" customFormat="false" ht="15" hidden="false" customHeight="false" outlineLevel="0" collapsed="false">
      <c r="A626" s="88" t="s">
        <v>219</v>
      </c>
      <c r="B626" s="97" t="n">
        <v>2</v>
      </c>
      <c r="C626" s="88" t="s">
        <v>222</v>
      </c>
      <c r="D626" s="88" t="s">
        <v>516</v>
      </c>
      <c r="E626" s="98" t="n">
        <v>57.61</v>
      </c>
      <c r="F626" s="102" t="n">
        <f aca="false">$E626*Parametros!$C$22</f>
        <v>276.528</v>
      </c>
      <c r="G626" s="90"/>
      <c r="H626" s="102" t="n">
        <f aca="false">$E626*Parametros!$C$23</f>
        <v>34.566</v>
      </c>
      <c r="I626" s="90" t="n">
        <v>0.191</v>
      </c>
    </row>
    <row r="627" customFormat="false" ht="15" hidden="false" customHeight="false" outlineLevel="0" collapsed="false">
      <c r="A627" s="88" t="s">
        <v>219</v>
      </c>
      <c r="B627" s="97" t="n">
        <v>2</v>
      </c>
      <c r="C627" s="88" t="s">
        <v>222</v>
      </c>
      <c r="D627" s="88" t="s">
        <v>517</v>
      </c>
      <c r="E627" s="98" t="n">
        <v>57.61</v>
      </c>
      <c r="F627" s="102" t="n">
        <f aca="false">$E627*Parametros!$C$22</f>
        <v>276.528</v>
      </c>
      <c r="G627" s="90"/>
      <c r="H627" s="102" t="n">
        <f aca="false">$E627*Parametros!$C$23</f>
        <v>34.566</v>
      </c>
      <c r="I627" s="90" t="n">
        <v>0.0662</v>
      </c>
    </row>
    <row r="628" customFormat="false" ht="15" hidden="false" customHeight="false" outlineLevel="0" collapsed="false">
      <c r="A628" s="88" t="s">
        <v>219</v>
      </c>
      <c r="B628" s="97" t="n">
        <v>2</v>
      </c>
      <c r="C628" s="88" t="s">
        <v>222</v>
      </c>
      <c r="D628" s="88" t="s">
        <v>518</v>
      </c>
      <c r="E628" s="98" t="n">
        <v>57.61</v>
      </c>
      <c r="F628" s="102" t="n">
        <f aca="false">$E628*Parametros!$C$22</f>
        <v>276.528</v>
      </c>
      <c r="G628" s="90"/>
      <c r="H628" s="102" t="n">
        <f aca="false">$E628*Parametros!$C$23</f>
        <v>34.566</v>
      </c>
      <c r="I628" s="90" t="n">
        <v>0.406</v>
      </c>
    </row>
    <row r="629" customFormat="false" ht="15" hidden="false" customHeight="false" outlineLevel="0" collapsed="false">
      <c r="A629" s="88" t="s">
        <v>219</v>
      </c>
      <c r="B629" s="97" t="n">
        <v>2</v>
      </c>
      <c r="C629" s="88" t="s">
        <v>222</v>
      </c>
      <c r="D629" s="88" t="s">
        <v>519</v>
      </c>
      <c r="E629" s="98" t="n">
        <v>57.61</v>
      </c>
      <c r="F629" s="102" t="n">
        <f aca="false">$E629*Parametros!$C$22</f>
        <v>276.528</v>
      </c>
      <c r="G629" s="90" t="n">
        <v>2.29</v>
      </c>
      <c r="H629" s="102" t="n">
        <f aca="false">$E629*Parametros!$C$23</f>
        <v>34.566</v>
      </c>
      <c r="I629" s="90" t="n">
        <v>0.0959</v>
      </c>
    </row>
    <row r="630" customFormat="false" ht="15" hidden="false" customHeight="false" outlineLevel="0" collapsed="false">
      <c r="A630" s="88" t="s">
        <v>219</v>
      </c>
      <c r="B630" s="97" t="n">
        <v>2</v>
      </c>
      <c r="C630" s="88" t="s">
        <v>222</v>
      </c>
      <c r="D630" s="88" t="s">
        <v>520</v>
      </c>
      <c r="E630" s="98" t="n">
        <v>57.61</v>
      </c>
      <c r="F630" s="102" t="n">
        <f aca="false">$E630*Parametros!$C$22</f>
        <v>276.528</v>
      </c>
      <c r="G630" s="90"/>
      <c r="H630" s="102" t="n">
        <f aca="false">$E630*Parametros!$C$23</f>
        <v>34.566</v>
      </c>
      <c r="I630" s="90" t="n">
        <v>0.0959</v>
      </c>
    </row>
    <row r="631" customFormat="false" ht="15" hidden="false" customHeight="false" outlineLevel="0" collapsed="false">
      <c r="A631" s="88" t="s">
        <v>219</v>
      </c>
      <c r="B631" s="97" t="n">
        <v>2</v>
      </c>
      <c r="C631" s="88" t="s">
        <v>222</v>
      </c>
      <c r="D631" s="88" t="s">
        <v>521</v>
      </c>
      <c r="E631" s="98" t="n">
        <v>57.61</v>
      </c>
      <c r="F631" s="102" t="n">
        <f aca="false">$E631*Parametros!$C$22</f>
        <v>276.528</v>
      </c>
      <c r="G631" s="90"/>
      <c r="H631" s="102" t="n">
        <f aca="false">$E631*Parametros!$C$23</f>
        <v>34.566</v>
      </c>
      <c r="I631" s="90" t="n">
        <v>0.0946</v>
      </c>
    </row>
    <row r="632" customFormat="false" ht="15" hidden="false" customHeight="false" outlineLevel="0" collapsed="false">
      <c r="A632" s="88" t="s">
        <v>219</v>
      </c>
      <c r="B632" s="97" t="n">
        <v>3</v>
      </c>
      <c r="C632" s="88" t="s">
        <v>522</v>
      </c>
      <c r="D632" s="88" t="s">
        <v>446</v>
      </c>
      <c r="E632" s="98" t="n">
        <v>1438.91</v>
      </c>
      <c r="F632" s="102" t="n">
        <f aca="false">$E632*Parametros!$C$22</f>
        <v>6906.768</v>
      </c>
      <c r="G632" s="90" t="n">
        <v>3.02</v>
      </c>
      <c r="H632" s="102" t="n">
        <f aca="false">$E632*Parametros!$C$23</f>
        <v>863.346</v>
      </c>
      <c r="I632" s="90" t="n">
        <v>0.174</v>
      </c>
    </row>
    <row r="633" customFormat="false" ht="15" hidden="false" customHeight="false" outlineLevel="0" collapsed="false">
      <c r="A633" s="88" t="s">
        <v>219</v>
      </c>
      <c r="B633" s="97" t="n">
        <v>3</v>
      </c>
      <c r="C633" s="88" t="s">
        <v>522</v>
      </c>
      <c r="D633" s="88" t="s">
        <v>507</v>
      </c>
      <c r="E633" s="98" t="n">
        <v>1438.91</v>
      </c>
      <c r="F633" s="102" t="n">
        <f aca="false">$E633*Parametros!$C$22</f>
        <v>6906.768</v>
      </c>
      <c r="G633" s="90"/>
      <c r="H633" s="102" t="n">
        <f aca="false">$E633*Parametros!$C$23</f>
        <v>863.346</v>
      </c>
      <c r="I633" s="90" t="n">
        <v>0.52</v>
      </c>
    </row>
    <row r="634" customFormat="false" ht="15" hidden="false" customHeight="false" outlineLevel="0" collapsed="false">
      <c r="A634" s="88" t="s">
        <v>219</v>
      </c>
      <c r="B634" s="97" t="n">
        <v>3</v>
      </c>
      <c r="C634" s="88" t="s">
        <v>522</v>
      </c>
      <c r="D634" s="88" t="s">
        <v>508</v>
      </c>
      <c r="E634" s="98" t="n">
        <v>1438.91</v>
      </c>
      <c r="F634" s="102" t="n">
        <f aca="false">$E634*Parametros!$C$22</f>
        <v>6906.768</v>
      </c>
      <c r="G634" s="90" t="n">
        <v>2.62</v>
      </c>
      <c r="H634" s="102" t="n">
        <f aca="false">$E634*Parametros!$C$23</f>
        <v>863.346</v>
      </c>
      <c r="I634" s="90" t="n">
        <v>0.412</v>
      </c>
    </row>
    <row r="635" customFormat="false" ht="15" hidden="false" customHeight="false" outlineLevel="0" collapsed="false">
      <c r="A635" s="88" t="s">
        <v>219</v>
      </c>
      <c r="B635" s="97" t="n">
        <v>3</v>
      </c>
      <c r="C635" s="88" t="s">
        <v>522</v>
      </c>
      <c r="D635" s="88" t="s">
        <v>448</v>
      </c>
      <c r="E635" s="98" t="n">
        <v>1438.91</v>
      </c>
      <c r="F635" s="102" t="n">
        <f aca="false">$E635*Parametros!$C$22</f>
        <v>6906.768</v>
      </c>
      <c r="G635" s="90"/>
      <c r="H635" s="102" t="n">
        <f aca="false">$E635*Parametros!$C$23</f>
        <v>863.346</v>
      </c>
      <c r="I635" s="90" t="n">
        <v>0.75</v>
      </c>
    </row>
    <row r="636" customFormat="false" ht="15" hidden="false" customHeight="false" outlineLevel="0" collapsed="false">
      <c r="A636" s="88" t="s">
        <v>219</v>
      </c>
      <c r="B636" s="97" t="n">
        <v>3</v>
      </c>
      <c r="C636" s="88" t="s">
        <v>522</v>
      </c>
      <c r="D636" s="88" t="s">
        <v>509</v>
      </c>
      <c r="E636" s="98" t="n">
        <v>1438.91</v>
      </c>
      <c r="F636" s="102" t="n">
        <f aca="false">$E636*Parametros!$C$22</f>
        <v>6906.768</v>
      </c>
      <c r="G636" s="90" t="n">
        <v>1.32</v>
      </c>
      <c r="H636" s="102" t="n">
        <f aca="false">$E636*Parametros!$C$23</f>
        <v>863.346</v>
      </c>
      <c r="I636" s="90" t="n">
        <v>0.467</v>
      </c>
    </row>
    <row r="637" customFormat="false" ht="15" hidden="false" customHeight="false" outlineLevel="0" collapsed="false">
      <c r="A637" s="88" t="s">
        <v>219</v>
      </c>
      <c r="B637" s="97" t="n">
        <v>3</v>
      </c>
      <c r="C637" s="88" t="s">
        <v>522</v>
      </c>
      <c r="D637" s="88" t="s">
        <v>431</v>
      </c>
      <c r="E637" s="98" t="n">
        <v>1438.91</v>
      </c>
      <c r="F637" s="102" t="n">
        <f aca="false">$E637*Parametros!$C$22</f>
        <v>6906.768</v>
      </c>
      <c r="G637" s="90" t="n">
        <v>2.69</v>
      </c>
      <c r="H637" s="102" t="n">
        <f aca="false">$E637*Parametros!$C$23</f>
        <v>863.346</v>
      </c>
      <c r="I637" s="90" t="n">
        <v>0.64</v>
      </c>
    </row>
    <row r="638" customFormat="false" ht="15" hidden="false" customHeight="false" outlineLevel="0" collapsed="false">
      <c r="A638" s="88" t="s">
        <v>219</v>
      </c>
      <c r="B638" s="97" t="n">
        <v>3</v>
      </c>
      <c r="C638" s="88" t="s">
        <v>522</v>
      </c>
      <c r="D638" s="88" t="s">
        <v>510</v>
      </c>
      <c r="E638" s="98" t="n">
        <v>1438.91</v>
      </c>
      <c r="F638" s="102" t="n">
        <f aca="false">$E638*Parametros!$C$22</f>
        <v>6906.768</v>
      </c>
      <c r="G638" s="90"/>
      <c r="H638" s="102" t="n">
        <f aca="false">$E638*Parametros!$C$23</f>
        <v>863.346</v>
      </c>
      <c r="I638" s="90" t="n">
        <v>0.49</v>
      </c>
    </row>
    <row r="639" customFormat="false" ht="15" hidden="false" customHeight="false" outlineLevel="0" collapsed="false">
      <c r="A639" s="88" t="s">
        <v>219</v>
      </c>
      <c r="B639" s="97" t="n">
        <v>3</v>
      </c>
      <c r="C639" s="88" t="s">
        <v>522</v>
      </c>
      <c r="D639" s="88" t="s">
        <v>511</v>
      </c>
      <c r="E639" s="98" t="n">
        <v>1438.91</v>
      </c>
      <c r="F639" s="102" t="n">
        <f aca="false">$E639*Parametros!$C$22</f>
        <v>6906.768</v>
      </c>
      <c r="G639" s="90"/>
      <c r="H639" s="102" t="n">
        <f aca="false">$E639*Parametros!$C$23</f>
        <v>863.346</v>
      </c>
      <c r="I639" s="90" t="n">
        <v>0.393</v>
      </c>
    </row>
    <row r="640" customFormat="false" ht="15" hidden="false" customHeight="false" outlineLevel="0" collapsed="false">
      <c r="A640" s="88" t="s">
        <v>219</v>
      </c>
      <c r="B640" s="97" t="n">
        <v>3</v>
      </c>
      <c r="C640" s="88" t="s">
        <v>522</v>
      </c>
      <c r="D640" s="88" t="s">
        <v>512</v>
      </c>
      <c r="E640" s="98" t="n">
        <v>1438.91</v>
      </c>
      <c r="F640" s="102" t="n">
        <f aca="false">$E640*Parametros!$C$22</f>
        <v>6906.768</v>
      </c>
      <c r="G640" s="90"/>
      <c r="H640" s="102" t="n">
        <f aca="false">$E640*Parametros!$C$23</f>
        <v>863.346</v>
      </c>
      <c r="I640" s="90" t="n">
        <v>0.0959</v>
      </c>
    </row>
    <row r="641" customFormat="false" ht="15" hidden="false" customHeight="false" outlineLevel="0" collapsed="false">
      <c r="A641" s="88" t="s">
        <v>219</v>
      </c>
      <c r="B641" s="97" t="n">
        <v>3</v>
      </c>
      <c r="C641" s="88" t="s">
        <v>522</v>
      </c>
      <c r="D641" s="88" t="s">
        <v>513</v>
      </c>
      <c r="E641" s="98" t="n">
        <v>1438.91</v>
      </c>
      <c r="F641" s="102" t="n">
        <f aca="false">$E641*Parametros!$C$22</f>
        <v>6906.768</v>
      </c>
      <c r="G641" s="90" t="n">
        <v>1.45</v>
      </c>
      <c r="H641" s="102" t="n">
        <f aca="false">$E641*Parametros!$C$23</f>
        <v>863.346</v>
      </c>
      <c r="I641" s="90" t="n">
        <v>0.412</v>
      </c>
    </row>
    <row r="642" customFormat="false" ht="15" hidden="false" customHeight="false" outlineLevel="0" collapsed="false">
      <c r="A642" s="88" t="s">
        <v>219</v>
      </c>
      <c r="B642" s="97" t="n">
        <v>3</v>
      </c>
      <c r="C642" s="88" t="s">
        <v>522</v>
      </c>
      <c r="D642" s="88" t="s">
        <v>514</v>
      </c>
      <c r="E642" s="98" t="n">
        <v>1438.91</v>
      </c>
      <c r="F642" s="102" t="n">
        <f aca="false">$E642*Parametros!$C$22</f>
        <v>6906.768</v>
      </c>
      <c r="G642" s="90"/>
      <c r="H642" s="102" t="n">
        <f aca="false">$E642*Parametros!$C$23</f>
        <v>863.346</v>
      </c>
      <c r="I642" s="90" t="n">
        <v>3.1</v>
      </c>
    </row>
    <row r="643" customFormat="false" ht="15" hidden="false" customHeight="false" outlineLevel="0" collapsed="false">
      <c r="A643" s="88" t="s">
        <v>219</v>
      </c>
      <c r="B643" s="97" t="n">
        <v>3</v>
      </c>
      <c r="C643" s="88" t="s">
        <v>522</v>
      </c>
      <c r="D643" s="88" t="s">
        <v>516</v>
      </c>
      <c r="E643" s="98" t="n">
        <v>1438.91</v>
      </c>
      <c r="F643" s="102" t="n">
        <f aca="false">$E643*Parametros!$C$22</f>
        <v>6906.768</v>
      </c>
      <c r="G643" s="90"/>
      <c r="H643" s="102" t="n">
        <f aca="false">$E643*Parametros!$C$23</f>
        <v>863.346</v>
      </c>
      <c r="I643" s="90" t="n">
        <v>0.509</v>
      </c>
    </row>
    <row r="644" customFormat="false" ht="15" hidden="false" customHeight="false" outlineLevel="0" collapsed="false">
      <c r="A644" s="88" t="s">
        <v>219</v>
      </c>
      <c r="B644" s="97" t="n">
        <v>3</v>
      </c>
      <c r="C644" s="88" t="s">
        <v>522</v>
      </c>
      <c r="D644" s="88" t="s">
        <v>517</v>
      </c>
      <c r="E644" s="98" t="n">
        <v>1438.91</v>
      </c>
      <c r="F644" s="102" t="n">
        <f aca="false">$E644*Parametros!$C$22</f>
        <v>6906.768</v>
      </c>
      <c r="G644" s="90"/>
      <c r="H644" s="102" t="n">
        <f aca="false">$E644*Parametros!$C$23</f>
        <v>863.346</v>
      </c>
      <c r="I644" s="90" t="n">
        <v>0.067</v>
      </c>
    </row>
    <row r="645" customFormat="false" ht="15" hidden="false" customHeight="false" outlineLevel="0" collapsed="false">
      <c r="A645" s="88" t="s">
        <v>219</v>
      </c>
      <c r="B645" s="97" t="n">
        <v>3</v>
      </c>
      <c r="C645" s="88" t="s">
        <v>522</v>
      </c>
      <c r="D645" s="88" t="s">
        <v>518</v>
      </c>
      <c r="E645" s="98" t="n">
        <v>1438.91</v>
      </c>
      <c r="F645" s="102" t="n">
        <f aca="false">$E645*Parametros!$C$22</f>
        <v>6906.768</v>
      </c>
      <c r="G645" s="90"/>
      <c r="H645" s="102" t="n">
        <f aca="false">$E645*Parametros!$C$23</f>
        <v>863.346</v>
      </c>
      <c r="I645" s="90" t="n">
        <v>0.22</v>
      </c>
    </row>
    <row r="646" customFormat="false" ht="15" hidden="false" customHeight="false" outlineLevel="0" collapsed="false">
      <c r="A646" s="88" t="s">
        <v>219</v>
      </c>
      <c r="B646" s="97" t="n">
        <v>3</v>
      </c>
      <c r="C646" s="88" t="s">
        <v>522</v>
      </c>
      <c r="D646" s="88" t="s">
        <v>519</v>
      </c>
      <c r="E646" s="98" t="n">
        <v>1438.91</v>
      </c>
      <c r="F646" s="102" t="n">
        <f aca="false">$E646*Parametros!$C$22</f>
        <v>6906.768</v>
      </c>
      <c r="G646" s="90" t="n">
        <v>2.12</v>
      </c>
      <c r="H646" s="102" t="n">
        <f aca="false">$E646*Parametros!$C$23</f>
        <v>863.346</v>
      </c>
      <c r="I646" s="90" t="n">
        <v>0.106</v>
      </c>
    </row>
    <row r="647" customFormat="false" ht="15" hidden="false" customHeight="false" outlineLevel="0" collapsed="false">
      <c r="A647" s="88" t="s">
        <v>219</v>
      </c>
      <c r="B647" s="97" t="n">
        <v>3</v>
      </c>
      <c r="C647" s="88" t="s">
        <v>522</v>
      </c>
      <c r="D647" s="88" t="s">
        <v>520</v>
      </c>
      <c r="E647" s="98" t="n">
        <v>1438.91</v>
      </c>
      <c r="F647" s="102" t="n">
        <f aca="false">$E647*Parametros!$C$22</f>
        <v>6906.768</v>
      </c>
      <c r="G647" s="90"/>
      <c r="H647" s="102" t="n">
        <f aca="false">$E647*Parametros!$C$23</f>
        <v>863.346</v>
      </c>
      <c r="I647" s="90" t="n">
        <v>0.0959</v>
      </c>
    </row>
    <row r="648" customFormat="false" ht="15" hidden="false" customHeight="false" outlineLevel="0" collapsed="false">
      <c r="A648" s="88" t="s">
        <v>219</v>
      </c>
      <c r="B648" s="97" t="n">
        <v>3</v>
      </c>
      <c r="C648" s="88" t="s">
        <v>522</v>
      </c>
      <c r="D648" s="88" t="s">
        <v>521</v>
      </c>
      <c r="E648" s="98" t="n">
        <v>1438.91</v>
      </c>
      <c r="F648" s="102" t="n">
        <f aca="false">$E648*Parametros!$C$22</f>
        <v>6906.768</v>
      </c>
      <c r="G648" s="90"/>
      <c r="H648" s="102" t="n">
        <f aca="false">$E648*Parametros!$C$23</f>
        <v>863.346</v>
      </c>
      <c r="I648" s="90" t="n">
        <v>0.567</v>
      </c>
    </row>
    <row r="649" customFormat="false" ht="15" hidden="false" customHeight="false" outlineLevel="0" collapsed="false">
      <c r="A649" s="88" t="s">
        <v>224</v>
      </c>
      <c r="B649" s="97" t="n">
        <v>2</v>
      </c>
      <c r="C649" s="88" t="s">
        <v>229</v>
      </c>
      <c r="D649" s="88" t="s">
        <v>523</v>
      </c>
      <c r="E649" s="98" t="n">
        <v>93.4</v>
      </c>
      <c r="F649" s="102" t="n">
        <f aca="false">$E649*Parametros!$C$22</f>
        <v>448.32</v>
      </c>
      <c r="G649" s="90" t="n">
        <v>5</v>
      </c>
      <c r="H649" s="102" t="n">
        <f aca="false">$E649*Parametros!$C$23</f>
        <v>56.04</v>
      </c>
      <c r="I649" s="90" t="n">
        <v>0.015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6" min="4" style="0" width="14"/>
  </cols>
  <sheetData>
    <row r="1" customFormat="false" ht="17.35" hidden="false" customHeight="false" outlineLevel="0" collapsed="false">
      <c r="A1" s="92" t="s">
        <v>524</v>
      </c>
    </row>
    <row r="2" customFormat="false" ht="43.5" hidden="false" customHeight="true" outlineLevel="0" collapsed="false">
      <c r="A2" s="93" t="s">
        <v>525</v>
      </c>
      <c r="B2" s="93"/>
      <c r="C2" s="93"/>
      <c r="D2" s="93"/>
      <c r="E2" s="93"/>
      <c r="F2" s="93"/>
    </row>
    <row r="4" customFormat="false" ht="27.75" hidden="false" customHeight="true" outlineLevel="0" collapsed="false">
      <c r="A4" s="96" t="s">
        <v>54</v>
      </c>
      <c r="B4" s="96" t="s">
        <v>119</v>
      </c>
      <c r="C4" s="86" t="s">
        <v>526</v>
      </c>
      <c r="D4" s="86" t="s">
        <v>527</v>
      </c>
      <c r="E4" s="86" t="s">
        <v>528</v>
      </c>
      <c r="F4" s="86" t="s">
        <v>529</v>
      </c>
    </row>
    <row r="5" customFormat="false" ht="15" hidden="false" customHeight="false" outlineLevel="0" collapsed="false">
      <c r="A5" s="88" t="s">
        <v>158</v>
      </c>
      <c r="B5" s="88" t="s">
        <v>159</v>
      </c>
      <c r="C5" s="97" t="n">
        <v>17</v>
      </c>
      <c r="D5" s="113" t="n">
        <v>0</v>
      </c>
      <c r="E5" s="113" t="n">
        <v>2.94</v>
      </c>
      <c r="F5" s="113" t="n">
        <v>2126</v>
      </c>
    </row>
    <row r="6" customFormat="false" ht="15" hidden="false" customHeight="false" outlineLevel="0" collapsed="false">
      <c r="A6" s="88" t="s">
        <v>158</v>
      </c>
      <c r="B6" s="88" t="s">
        <v>161</v>
      </c>
      <c r="C6" s="97" t="n">
        <v>17</v>
      </c>
      <c r="D6" s="113" t="n">
        <v>0</v>
      </c>
      <c r="E6" s="113" t="n">
        <v>2.824</v>
      </c>
      <c r="F6" s="113" t="n">
        <v>1469</v>
      </c>
    </row>
    <row r="7" customFormat="false" ht="15" hidden="false" customHeight="false" outlineLevel="0" collapsed="false">
      <c r="A7" s="88" t="s">
        <v>158</v>
      </c>
      <c r="B7" s="88" t="s">
        <v>162</v>
      </c>
      <c r="C7" s="97" t="n">
        <v>15</v>
      </c>
      <c r="D7" s="113" t="n">
        <v>0</v>
      </c>
      <c r="E7" s="113" t="n">
        <v>3.051</v>
      </c>
      <c r="F7" s="113" t="n">
        <v>1520</v>
      </c>
    </row>
    <row r="8" customFormat="false" ht="15" hidden="false" customHeight="false" outlineLevel="0" collapsed="false">
      <c r="A8" s="88" t="s">
        <v>146</v>
      </c>
      <c r="B8" s="88" t="s">
        <v>147</v>
      </c>
      <c r="C8" s="97" t="n">
        <v>18</v>
      </c>
      <c r="D8" s="113" t="n">
        <v>0</v>
      </c>
      <c r="E8" s="113" t="n">
        <v>12.4385</v>
      </c>
      <c r="F8" s="113" t="n">
        <v>13122</v>
      </c>
    </row>
    <row r="9" customFormat="false" ht="15" hidden="false" customHeight="false" outlineLevel="0" collapsed="false">
      <c r="A9" s="88" t="s">
        <v>146</v>
      </c>
      <c r="B9" s="88" t="s">
        <v>155</v>
      </c>
      <c r="C9" s="97" t="n">
        <v>4</v>
      </c>
      <c r="D9" s="113" t="n">
        <v>0.15</v>
      </c>
      <c r="E9" s="113" t="n">
        <v>3.308</v>
      </c>
      <c r="F9" s="113" t="n">
        <v>6.262</v>
      </c>
    </row>
    <row r="10" customFormat="false" ht="15" hidden="false" customHeight="false" outlineLevel="0" collapsed="false">
      <c r="A10" s="88" t="s">
        <v>146</v>
      </c>
      <c r="B10" s="88" t="s">
        <v>148</v>
      </c>
      <c r="C10" s="97" t="n">
        <v>3</v>
      </c>
      <c r="D10" s="113" t="n">
        <v>3.492</v>
      </c>
      <c r="E10" s="113" t="n">
        <v>5.117</v>
      </c>
      <c r="F10" s="113" t="n">
        <v>5.728</v>
      </c>
    </row>
    <row r="11" customFormat="false" ht="15" hidden="false" customHeight="false" outlineLevel="0" collapsed="false">
      <c r="A11" s="88" t="s">
        <v>146</v>
      </c>
      <c r="B11" s="88" t="s">
        <v>150</v>
      </c>
      <c r="C11" s="97" t="n">
        <v>12</v>
      </c>
      <c r="D11" s="113" t="n">
        <v>0</v>
      </c>
      <c r="E11" s="113" t="n">
        <v>14.016</v>
      </c>
      <c r="F11" s="113" t="n">
        <v>12606</v>
      </c>
    </row>
    <row r="12" customFormat="false" ht="15" hidden="false" customHeight="false" outlineLevel="0" collapsed="false">
      <c r="A12" s="88" t="s">
        <v>146</v>
      </c>
      <c r="B12" s="88" t="s">
        <v>152</v>
      </c>
      <c r="C12" s="97" t="n">
        <v>6</v>
      </c>
      <c r="D12" s="113" t="n">
        <v>4.609</v>
      </c>
      <c r="E12" s="113" t="n">
        <v>22.27</v>
      </c>
      <c r="F12" s="113" t="n">
        <v>58.04</v>
      </c>
    </row>
    <row r="13" customFormat="false" ht="15" hidden="false" customHeight="false" outlineLevel="0" collapsed="false">
      <c r="A13" s="88" t="s">
        <v>146</v>
      </c>
      <c r="B13" s="88" t="s">
        <v>149</v>
      </c>
      <c r="C13" s="97" t="n">
        <v>3</v>
      </c>
      <c r="D13" s="113" t="n">
        <v>0</v>
      </c>
      <c r="E13" s="113" t="n">
        <v>3.21</v>
      </c>
      <c r="F13" s="113" t="n">
        <v>21.25</v>
      </c>
    </row>
    <row r="14" customFormat="false" ht="15" hidden="false" customHeight="false" outlineLevel="0" collapsed="false">
      <c r="A14" s="88" t="s">
        <v>146</v>
      </c>
      <c r="B14" s="88" t="s">
        <v>153</v>
      </c>
      <c r="C14" s="97" t="n">
        <v>7</v>
      </c>
      <c r="D14" s="113" t="n">
        <v>0</v>
      </c>
      <c r="E14" s="113" t="n">
        <v>25.02</v>
      </c>
      <c r="F14" s="113" t="n">
        <v>159</v>
      </c>
    </row>
    <row r="15" customFormat="false" ht="15" hidden="false" customHeight="false" outlineLevel="0" collapsed="false">
      <c r="A15" s="88" t="s">
        <v>146</v>
      </c>
      <c r="B15" s="88" t="s">
        <v>154</v>
      </c>
      <c r="C15" s="97" t="n">
        <v>5</v>
      </c>
      <c r="D15" s="113" t="n">
        <v>0</v>
      </c>
      <c r="E15" s="113" t="n">
        <v>19.45</v>
      </c>
      <c r="F15" s="113" t="n">
        <v>23.29</v>
      </c>
    </row>
    <row r="16" customFormat="false" ht="15" hidden="false" customHeight="false" outlineLevel="0" collapsed="false">
      <c r="A16" s="88" t="s">
        <v>224</v>
      </c>
      <c r="B16" s="88" t="s">
        <v>229</v>
      </c>
      <c r="C16" s="97" t="n">
        <v>45</v>
      </c>
      <c r="D16" s="113" t="n">
        <v>448</v>
      </c>
      <c r="E16" s="113" t="n">
        <v>2511</v>
      </c>
      <c r="F16" s="113" t="n">
        <v>9291</v>
      </c>
    </row>
    <row r="17" customFormat="false" ht="15" hidden="false" customHeight="false" outlineLevel="0" collapsed="false">
      <c r="A17" s="88" t="s">
        <v>224</v>
      </c>
      <c r="B17" s="88" t="s">
        <v>225</v>
      </c>
      <c r="C17" s="97" t="n">
        <v>12</v>
      </c>
      <c r="D17" s="113" t="n">
        <v>0</v>
      </c>
      <c r="E17" s="113" t="n">
        <v>135</v>
      </c>
      <c r="F17" s="113" t="n">
        <v>348</v>
      </c>
    </row>
    <row r="18" customFormat="false" ht="15" hidden="false" customHeight="false" outlineLevel="0" collapsed="false">
      <c r="A18" s="88" t="s">
        <v>224</v>
      </c>
      <c r="B18" s="88" t="s">
        <v>235</v>
      </c>
      <c r="C18" s="97" t="n">
        <v>25</v>
      </c>
      <c r="D18" s="113" t="n">
        <v>134</v>
      </c>
      <c r="E18" s="113" t="n">
        <v>4285</v>
      </c>
      <c r="F18" s="113" t="n">
        <v>9735</v>
      </c>
    </row>
    <row r="19" customFormat="false" ht="15" hidden="false" customHeight="false" outlineLevel="0" collapsed="false">
      <c r="A19" s="88" t="s">
        <v>224</v>
      </c>
      <c r="B19" s="88" t="s">
        <v>233</v>
      </c>
      <c r="C19" s="97" t="n">
        <v>26</v>
      </c>
      <c r="D19" s="113" t="n">
        <v>0</v>
      </c>
      <c r="E19" s="113" t="n">
        <v>5327.5</v>
      </c>
      <c r="F19" s="113" t="n">
        <v>14315</v>
      </c>
    </row>
    <row r="20" customFormat="false" ht="15" hidden="false" customHeight="false" outlineLevel="0" collapsed="false">
      <c r="A20" s="88" t="s">
        <v>224</v>
      </c>
      <c r="B20" s="88" t="s">
        <v>227</v>
      </c>
      <c r="C20" s="97" t="n">
        <v>26</v>
      </c>
      <c r="D20" s="113" t="n">
        <v>0</v>
      </c>
      <c r="E20" s="113" t="n">
        <v>5735</v>
      </c>
      <c r="F20" s="113" t="n">
        <v>11762</v>
      </c>
    </row>
    <row r="21" customFormat="false" ht="15" hidden="false" customHeight="false" outlineLevel="0" collapsed="false">
      <c r="A21" s="88" t="s">
        <v>224</v>
      </c>
      <c r="B21" s="88" t="s">
        <v>237</v>
      </c>
      <c r="C21" s="97" t="n">
        <v>39</v>
      </c>
      <c r="D21" s="113" t="n">
        <v>0</v>
      </c>
      <c r="E21" s="113" t="n">
        <v>9824</v>
      </c>
      <c r="F21" s="113" t="n">
        <v>40015</v>
      </c>
    </row>
    <row r="22" customFormat="false" ht="15" hidden="false" customHeight="false" outlineLevel="0" collapsed="false">
      <c r="A22" s="88" t="s">
        <v>224</v>
      </c>
      <c r="B22" s="88" t="s">
        <v>231</v>
      </c>
      <c r="C22" s="97" t="n">
        <v>44</v>
      </c>
      <c r="D22" s="113" t="n">
        <v>0</v>
      </c>
      <c r="E22" s="113" t="n">
        <v>5751.5</v>
      </c>
      <c r="F22" s="113" t="n">
        <v>17875</v>
      </c>
    </row>
    <row r="24" customFormat="false" ht="43.5" hidden="false" customHeight="true" outlineLevel="0" collapsed="false">
      <c r="A24" s="103" t="s">
        <v>530</v>
      </c>
      <c r="B24" s="100" t="s">
        <v>531</v>
      </c>
      <c r="C24" s="100"/>
      <c r="D24" s="100"/>
      <c r="E24" s="100"/>
      <c r="F24" s="100"/>
    </row>
    <row r="25" customFormat="false" ht="43.5" hidden="false" customHeight="true" outlineLevel="0" collapsed="false">
      <c r="A25" s="103" t="s">
        <v>532</v>
      </c>
      <c r="B25" s="100" t="s">
        <v>533</v>
      </c>
      <c r="C25" s="100"/>
      <c r="D25" s="100"/>
      <c r="E25" s="100"/>
      <c r="F25" s="100"/>
    </row>
    <row r="26" customFormat="false" ht="43.5" hidden="false" customHeight="true" outlineLevel="0" collapsed="false">
      <c r="A26" s="103" t="s">
        <v>534</v>
      </c>
      <c r="B26" s="100" t="s">
        <v>535</v>
      </c>
      <c r="C26" s="100"/>
      <c r="D26" s="100"/>
      <c r="E26" s="100"/>
      <c r="F26" s="100"/>
    </row>
    <row r="27" customFormat="false" ht="43.5" hidden="false" customHeight="true" outlineLevel="0" collapsed="false">
      <c r="A27" s="103" t="s">
        <v>536</v>
      </c>
      <c r="B27" s="100" t="s">
        <v>537</v>
      </c>
      <c r="C27" s="100"/>
      <c r="D27" s="100"/>
      <c r="E27" s="100"/>
      <c r="F27" s="100"/>
    </row>
    <row r="28" customFormat="false" ht="43.5" hidden="false" customHeight="true" outlineLevel="0" collapsed="false">
      <c r="A28" s="103" t="s">
        <v>538</v>
      </c>
      <c r="B28" s="100" t="s">
        <v>539</v>
      </c>
      <c r="C28" s="100"/>
      <c r="D28" s="100"/>
      <c r="E28" s="100"/>
      <c r="F28" s="100"/>
    </row>
  </sheetData>
  <mergeCells count="6">
    <mergeCell ref="A2:F2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2026-05-06T06:28:26Z</dcterms:created>
  <dc:creator>openpyxl</dc:creator>
  <dc:description/>
  <dc:language>en-US</dc:language>
  <cp:lastModifiedBy/>
  <dcterms:modified xsi:type="dcterms:W3CDTF">2026-08-03T20:12:56Z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